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Pi Build Parts List" sheetId="1" state="visible" r:id="rId1"/>
    <sheet xmlns:r="http://schemas.openxmlformats.org/officeDocument/2006/relationships" name="Notes &amp; Assumption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sz val="12"/>
    </font>
    <font>
      <name val="Arial"/>
      <charset val="1"/>
      <family val="0"/>
      <i val="1"/>
      <color rgb="FF595959"/>
      <sz val="9"/>
    </font>
    <font>
      <name val="Arial"/>
      <b val="1"/>
      <color rgb="00FFFFFF"/>
      <sz val="11"/>
    </font>
    <font>
      <name val="Arial"/>
      <color rgb="000563C1"/>
      <sz val="10"/>
      <u val="single"/>
    </font>
    <font>
      <name val="Arial"/>
      <i val="1"/>
      <color rgb="00595959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  <fill>
      <patternFill patternType="solid">
        <fgColor rgb="FFBDD7EE"/>
        <bgColor rgb="FFD9E1F2"/>
      </patternFill>
    </fill>
    <fill>
      <patternFill patternType="solid">
        <fgColor rgb="001F38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bottom"/>
    </xf>
    <xf numFmtId="164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164" fontId="9" fillId="4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0" fillId="6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12" fillId="7" borderId="6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bottom"/>
    </xf>
    <xf numFmtId="164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13" fillId="0" borderId="6" applyAlignment="1" pivotButton="0" quotePrefix="0" xfId="0">
      <alignment vertical="top" wrapText="1"/>
    </xf>
    <xf numFmtId="0" fontId="14" fillId="0" borderId="6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164" fontId="9" fillId="4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0" fillId="6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15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aliexpress.us/item/3256811997426684.html" TargetMode="External" Id="rId1"/><Relationship Type="http://schemas.openxmlformats.org/officeDocument/2006/relationships/hyperlink" Target="https://www.aliexpress.us/item/3256805898825593.html" TargetMode="External" Id="rId2"/><Relationship Type="http://schemas.openxmlformats.org/officeDocument/2006/relationships/hyperlink" Target="https://www.aliexpress.us/item/2251832650723833.html" TargetMode="External" Id="rId3"/><Relationship Type="http://schemas.openxmlformats.org/officeDocument/2006/relationships/hyperlink" Target="https://www.aliexpress.us/item/3256807958440077.html" TargetMode="External" Id="rId4"/><Relationship Type="http://schemas.openxmlformats.org/officeDocument/2006/relationships/hyperlink" Target="https://www.aliexpress.us/item/3256806781182614.html" TargetMode="External" Id="rId5"/><Relationship Type="http://schemas.openxmlformats.org/officeDocument/2006/relationships/hyperlink" Target="https://www.aliexpress.us/item/3256809229326113.html" TargetMode="External" Id="rId6"/><Relationship Type="http://schemas.openxmlformats.org/officeDocument/2006/relationships/hyperlink" Target="https://www.aliexpress.us/item/3256805855995824.html" TargetMode="External" Id="rId7"/><Relationship Type="http://schemas.openxmlformats.org/officeDocument/2006/relationships/hyperlink" Target="https://www.aliexpress.us/item/3256810193507452.html" TargetMode="External" Id="rId8"/><Relationship Type="http://schemas.openxmlformats.org/officeDocument/2006/relationships/hyperlink" Target="https://www.aliexpress.us/item/2251832788494199.html" TargetMode="External" Id="rId9"/><Relationship Type="http://schemas.openxmlformats.org/officeDocument/2006/relationships/hyperlink" Target="https://www.aliexpress.us/item/3256804803184745.html" TargetMode="External" Id="rId10"/><Relationship Type="http://schemas.openxmlformats.org/officeDocument/2006/relationships/hyperlink" Target="https://www.aliexpress.us/item/3256810373909767.html" TargetMode="External" Id="rId11"/><Relationship Type="http://schemas.openxmlformats.org/officeDocument/2006/relationships/hyperlink" Target="https://www.aliexpress.us/item/3256807945257204.html" TargetMode="External" Id="rId12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" customWidth="1" style="17" min="1" max="1"/>
    <col width="12" customWidth="1" style="17" min="2" max="2"/>
    <col width="40" customWidth="1" style="17" min="3" max="3"/>
    <col width="30" customWidth="1" style="17" min="4" max="4"/>
    <col width="6" customWidth="1" style="17" min="5" max="5"/>
    <col width="11" customWidth="1" style="17" min="6" max="6"/>
    <col width="14" customWidth="1" style="17" min="7" max="10"/>
    <col width="55" customWidth="1" style="17" min="11" max="11"/>
    <col width="45" customWidth="1" style="18" min="12" max="12"/>
  </cols>
  <sheetData>
    <row r="1" ht="17.35" customHeight="1" s="18">
      <c r="A1" s="19" t="inlineStr">
        <is>
          <t>HeadUnit OS — Raspberry Pi Prototype/Dev Build: Parts List</t>
        </is>
      </c>
    </row>
    <row r="2" ht="15" customHeight="1" s="18">
      <c r="A2" s="20" t="inlineStr">
        <is>
          <t>Bill of materials for the Raspberry Pi 4/5-based build used for prototyping and development (not the mass-production carrier board).</t>
        </is>
      </c>
    </row>
    <row r="4" ht="26.85" customHeight="1" s="18">
      <c r="A4" s="21" t="inlineStr">
        <is>
          <t>#</t>
        </is>
      </c>
      <c r="B4" s="21" t="inlineStr">
        <is>
          <t>Category</t>
        </is>
      </c>
      <c r="C4" s="21" t="inlineStr">
        <is>
          <t>Component</t>
        </is>
      </c>
      <c r="D4" s="21" t="inlineStr">
        <is>
          <t>Recommended Model / Example</t>
        </is>
      </c>
      <c r="E4" s="21" t="inlineStr">
        <is>
          <t>Qty</t>
        </is>
      </c>
      <c r="F4" s="21" t="inlineStr">
        <is>
          <t>Required?</t>
        </is>
      </c>
      <c r="G4" s="21" t="inlineStr">
        <is>
          <t>Est. Unit Price Low</t>
        </is>
      </c>
      <c r="H4" s="21" t="inlineStr">
        <is>
          <t>Est. Unit Price High</t>
        </is>
      </c>
      <c r="I4" s="21" t="inlineStr">
        <is>
          <t>Est. Line Cost Low</t>
        </is>
      </c>
      <c r="J4" s="21" t="inlineStr">
        <is>
          <t>Est. Line Cost High</t>
        </is>
      </c>
      <c r="K4" s="21" t="inlineStr">
        <is>
          <t>Notes</t>
        </is>
      </c>
      <c r="L4" s="22" t="inlineStr">
        <is>
          <t>AliExpress Link (unverified — confirm specs, seller rating &amp; reviews before ordering)</t>
        </is>
      </c>
    </row>
    <row r="5" ht="15" customHeight="1" s="18">
      <c r="A5" s="23" t="inlineStr">
        <is>
          <t>Core Components (from docs/hardware_shopping_list.md)</t>
        </is>
      </c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5" t="n"/>
    </row>
    <row r="6" ht="15" customHeight="1" s="18">
      <c r="A6" s="26" t="n">
        <v>1</v>
      </c>
      <c r="B6" s="26" t="inlineStr">
        <is>
          <t>Compute</t>
        </is>
      </c>
      <c r="C6" s="26" t="inlineStr">
        <is>
          <t>Raspberry Pi 4 (4GB/8GB) or Raspberry Pi 5</t>
        </is>
      </c>
      <c r="D6" s="26" t="inlineStr">
        <is>
          <t>RPi 4 4GB/8GB or RPi 5 4GB</t>
        </is>
      </c>
      <c r="E6" s="26" t="n">
        <v>1</v>
      </c>
      <c r="F6" s="27" t="inlineStr">
        <is>
          <t>Required</t>
        </is>
      </c>
      <c r="G6" s="28" t="n">
        <v>55</v>
      </c>
      <c r="H6" s="28" t="n">
        <v>80</v>
      </c>
      <c r="I6" s="28">
        <f>E6*G6</f>
        <v>55</v>
      </c>
      <c r="J6" s="28">
        <f>E6*H6</f>
        <v>80</v>
      </c>
      <c r="K6" s="29" t="inlineStr">
        <is>
          <t>RPi 4 4GB/8GB or RPi 5 4GB gives smooth 60fps UI performance.</t>
        </is>
      </c>
      <c r="L6" s="30" t="inlineStr">
        <is>
          <t>Official Original RPi 4 Model B Dev Board (4/8GB)</t>
        </is>
      </c>
    </row>
    <row r="7" ht="15" customHeight="1" s="18">
      <c r="A7" s="26" t="n">
        <v>2</v>
      </c>
      <c r="B7" s="26" t="inlineStr">
        <is>
          <t>Display</t>
        </is>
      </c>
      <c r="C7" s="26" t="inlineStr">
        <is>
          <t>10.1" LCD Capacitive Touch Monitor + HDMI Driver Board</t>
        </is>
      </c>
      <c r="D7" s="26" t="inlineStr">
        <is>
          <t>235mm x 143mm panel, e.g. Waveshare</t>
        </is>
      </c>
      <c r="E7" s="26" t="n">
        <v>1</v>
      </c>
      <c r="F7" s="27" t="inlineStr">
        <is>
          <t>Required</t>
        </is>
      </c>
      <c r="G7" s="28" t="n">
        <v>32</v>
      </c>
      <c r="H7" s="28" t="n">
        <v>45</v>
      </c>
      <c r="I7" s="28">
        <f>E7*G7</f>
        <v>32</v>
      </c>
      <c r="J7" s="28">
        <f>E7*H7</f>
        <v>45</v>
      </c>
      <c r="K7" s="29" t="inlineStr">
        <is>
          <t>Includes HDMI driver board and USB touch cable.</t>
        </is>
      </c>
      <c r="L7" s="30" t="inlineStr">
        <is>
          <t>10.1" 1280x800 IPS HDMI-Compatible USB Touch LCD Monitor</t>
        </is>
      </c>
    </row>
    <row r="8" ht="23.85" customHeight="1" s="18">
      <c r="A8" s="26" t="n">
        <v>3</v>
      </c>
      <c r="B8" s="26" t="inlineStr">
        <is>
          <t>Power</t>
        </is>
      </c>
      <c r="C8" s="26" t="inlineStr">
        <is>
          <t>Automotive Power HAT (safe shutdown)</t>
        </is>
      </c>
      <c r="D8" s="26" t="inlineStr">
        <is>
          <t>CarPiHAT / StromPi 3 / Mausberry Switch</t>
        </is>
      </c>
      <c r="E8" s="26" t="n">
        <v>1</v>
      </c>
      <c r="F8" s="27" t="inlineStr">
        <is>
          <t>Required</t>
        </is>
      </c>
      <c r="G8" s="28" t="n">
        <v>20</v>
      </c>
      <c r="H8" s="28" t="n">
        <v>40</v>
      </c>
      <c r="I8" s="28">
        <f>E8*G8</f>
        <v>20</v>
      </c>
      <c r="J8" s="28">
        <f>E8*H8</f>
        <v>40</v>
      </c>
      <c r="K8" s="29" t="inlineStr">
        <is>
          <t>3-wire ignition setup (BATT/ACC/GND). Prevents SD card corruption on key-off.</t>
        </is>
      </c>
      <c r="L8" s="31" t="inlineStr">
        <is>
          <t>Not carried on AliExpress — try Amazon / Tindie / manufacturer site</t>
        </is>
      </c>
    </row>
    <row r="9" ht="15" customHeight="1" s="18">
      <c r="A9" s="26" t="n">
        <v>4</v>
      </c>
      <c r="B9" s="26" t="inlineStr">
        <is>
          <t>Storage</t>
        </is>
      </c>
      <c r="C9" s="26" t="inlineStr">
        <is>
          <t>MicroSD Card, 32-64GB, A2 Class 10</t>
        </is>
      </c>
      <c r="D9" s="26" t="inlineStr">
        <is>
          <t>SanDisk Extreme / Samsung EVO Select</t>
        </is>
      </c>
      <c r="E9" s="26" t="n">
        <v>1</v>
      </c>
      <c r="F9" s="27" t="inlineStr">
        <is>
          <t>Required</t>
        </is>
      </c>
      <c r="G9" s="28" t="n">
        <v>8</v>
      </c>
      <c r="H9" s="28" t="n">
        <v>12</v>
      </c>
      <c r="I9" s="28">
        <f>E9*G9</f>
        <v>8</v>
      </c>
      <c r="J9" s="28">
        <f>E9*H9</f>
        <v>12</v>
      </c>
      <c r="K9" s="29" t="inlineStr">
        <is>
          <t>A2 rating needed for fast boot / app load speed.</t>
        </is>
      </c>
      <c r="L9" s="30" t="inlineStr">
        <is>
          <t>Sandisk Extreme Micro SD Card A2 V30 (32/64/128GB), Original</t>
        </is>
      </c>
    </row>
    <row r="10" ht="23.85" customHeight="1" s="18">
      <c r="A10" s="26" t="n">
        <v>5</v>
      </c>
      <c r="B10" s="26" t="inlineStr">
        <is>
          <t>Audio</t>
        </is>
      </c>
      <c r="C10" s="26" t="inlineStr">
        <is>
          <t>USB 3.5mm Hi-Fi DAC + 3.5mm Ground Loop Isolator</t>
        </is>
      </c>
      <c r="D10" s="26" t="inlineStr">
        <is>
          <t>—</t>
        </is>
      </c>
      <c r="E10" s="26" t="n">
        <v>1</v>
      </c>
      <c r="F10" s="27" t="inlineStr">
        <is>
          <t>Required</t>
        </is>
      </c>
      <c r="G10" s="28" t="n">
        <v>15</v>
      </c>
      <c r="H10" s="28" t="n">
        <v>22</v>
      </c>
      <c r="I10" s="28">
        <f>E10*G10</f>
        <v>15</v>
      </c>
      <c r="J10" s="28">
        <f>E10*H10</f>
        <v>22</v>
      </c>
      <c r="K10" s="29" t="inlineStr">
        <is>
          <t>Isolator is bundled in this line item's price - prevents alternator whine when Pi is powered from car 12V. See wiring notes below. Ground Loop Isolator link: https://www.aliexpress.us/item/3256808243639677.html (Anti-interference 3.5mm Aux isolator, 1526 orders)</t>
        </is>
      </c>
      <c r="L10" s="30" t="inlineStr">
        <is>
          <t>ORICO SC2 External USB Sound Card (3.5mm, driver-free)</t>
        </is>
      </c>
    </row>
    <row r="11" ht="23.85" customHeight="1" s="18">
      <c r="A11" s="26" t="n">
        <v>6</v>
      </c>
      <c r="B11" s="26" t="inlineStr">
        <is>
          <t>Wireless</t>
        </is>
      </c>
      <c r="C11" s="26" t="inlineStr">
        <is>
          <t>Carlinkit CPC200-CCPA Wireless USB Dongle</t>
        </is>
      </c>
      <c r="D11" s="26" t="inlineStr">
        <is>
          <t>—</t>
        </is>
      </c>
      <c r="E11" s="26" t="n">
        <v>1</v>
      </c>
      <c r="F11" s="32" t="inlineStr">
        <is>
          <t>Optional</t>
        </is>
      </c>
      <c r="G11" s="28" t="n">
        <v>38</v>
      </c>
      <c r="H11" s="28" t="n">
        <v>48</v>
      </c>
      <c r="I11" s="28">
        <f>E11*G11</f>
        <v>38</v>
      </c>
      <c r="J11" s="28">
        <f>E11*H11</f>
        <v>48</v>
      </c>
      <c r="K11" s="29" t="inlineStr">
        <is>
          <t>Adds wireless CarPlay + wireless Android Auto bridge. Skip if using native/wired protocol only.</t>
        </is>
      </c>
      <c r="L11" s="30" t="inlineStr">
        <is>
          <t>CarlinKit 5.0 2Air Wireless Android Auto / CarPlay Dongle</t>
        </is>
      </c>
    </row>
    <row r="12" ht="15" customHeight="1" s="18">
      <c r="A12" s="26" t="n">
        <v>7</v>
      </c>
      <c r="B12" s="26" t="inlineStr">
        <is>
          <t>Mic</t>
        </is>
      </c>
      <c r="C12" s="26" t="inlineStr">
        <is>
          <t>USB Mini Microphone</t>
        </is>
      </c>
      <c r="D12" s="26" t="inlineStr">
        <is>
          <t>—</t>
        </is>
      </c>
      <c r="E12" s="26" t="n">
        <v>1</v>
      </c>
      <c r="F12" s="27" t="inlineStr">
        <is>
          <t>Required</t>
        </is>
      </c>
      <c r="G12" s="28" t="n">
        <v>6</v>
      </c>
      <c r="H12" s="28" t="n">
        <v>10</v>
      </c>
      <c r="I12" s="28">
        <f>E12*G12</f>
        <v>6</v>
      </c>
      <c r="J12" s="28">
        <f>E12*H12</f>
        <v>10</v>
      </c>
      <c r="K12" s="29" t="inlineStr">
        <is>
          <t>For Google Assistant / Siri hands-free voice commands.</t>
        </is>
      </c>
      <c r="L12" s="30" t="inlineStr">
        <is>
          <t>USB Microphone for Raspberry Pi 3B/4B, Plug &amp; Play</t>
        </is>
      </c>
    </row>
    <row r="13" ht="15" customHeight="1" s="18">
      <c r="A13" s="26" t="n">
        <v>8</v>
      </c>
      <c r="B13" s="26" t="inlineStr">
        <is>
          <t>Mount</t>
        </is>
      </c>
      <c r="C13" s="26" t="inlineStr">
        <is>
          <t>Universal 10.1" Double-DIN Dash Mount Kit</t>
        </is>
      </c>
      <c r="D13" s="26" t="inlineStr">
        <is>
          <t>—</t>
        </is>
      </c>
      <c r="E13" s="26" t="n">
        <v>1</v>
      </c>
      <c r="F13" s="27" t="inlineStr">
        <is>
          <t>Required</t>
        </is>
      </c>
      <c r="G13" s="28" t="n">
        <v>12</v>
      </c>
      <c r="H13" s="28" t="n">
        <v>20</v>
      </c>
      <c r="I13" s="28">
        <f>E13*G13</f>
        <v>12</v>
      </c>
      <c r="J13" s="28">
        <f>E13*H13</f>
        <v>20</v>
      </c>
      <c r="K13" s="29" t="inlineStr">
        <is>
          <t>2-DIN floating trim bezel or bracket for dash installation.</t>
        </is>
      </c>
      <c r="L13" s="30" t="inlineStr">
        <is>
          <t>Auto Panel Audio Dash Mount Kit, Universal 2-DIN Frame</t>
        </is>
      </c>
    </row>
    <row r="14" ht="15" customHeight="1" s="18">
      <c r="A14" s="23" t="inlineStr">
        <is>
          <t>Wiring &amp; Cable Accessories (from docs/hardware_shopping_list.md, § Wiring &amp; Cable Accessories)</t>
        </is>
      </c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5" t="n"/>
    </row>
    <row r="15" ht="23.85" customHeight="1" s="18">
      <c r="A15" s="26" t="n">
        <v>9</v>
      </c>
      <c r="B15" s="26" t="inlineStr">
        <is>
          <t>Cabling</t>
        </is>
      </c>
      <c r="C15" s="26" t="inlineStr">
        <is>
          <t>Short HDMI Cable / Ribbon (0.3m / 1ft)</t>
        </is>
      </c>
      <c r="D15" s="26" t="inlineStr">
        <is>
          <t>—</t>
        </is>
      </c>
      <c r="E15" s="26" t="n">
        <v>1</v>
      </c>
      <c r="F15" s="27" t="inlineStr">
        <is>
          <t>Required</t>
        </is>
      </c>
      <c r="G15" s="28" t="n">
        <v>5</v>
      </c>
      <c r="H15" s="28" t="n">
        <v>8</v>
      </c>
      <c r="I15" s="28">
        <f>E15*G15</f>
        <v>5</v>
      </c>
      <c r="J15" s="28">
        <f>E15*H15</f>
        <v>8</v>
      </c>
      <c r="K15" s="29" t="inlineStr">
        <is>
          <t>Estimate - not priced in source doc. Connects RPi HDMI port to display driver board.</t>
        </is>
      </c>
      <c r="L15" s="30" t="inlineStr">
        <is>
          <t>Micro HDMI to HDMI Cable, for Raspberry Pi 4</t>
        </is>
      </c>
    </row>
    <row r="16" ht="23.85" customHeight="1" s="18">
      <c r="A16" s="26" t="n">
        <v>10</v>
      </c>
      <c r="B16" s="26" t="inlineStr">
        <is>
          <t>Cabling</t>
        </is>
      </c>
      <c r="C16" s="26" t="inlineStr">
        <is>
          <t>Micro-USB to USB-A Cable</t>
        </is>
      </c>
      <c r="D16" s="26" t="inlineStr">
        <is>
          <t>—</t>
        </is>
      </c>
      <c r="E16" s="26" t="n">
        <v>1</v>
      </c>
      <c r="F16" s="27" t="inlineStr">
        <is>
          <t>Required</t>
        </is>
      </c>
      <c r="G16" s="28" t="n">
        <v>4</v>
      </c>
      <c r="H16" s="28" t="n">
        <v>6</v>
      </c>
      <c r="I16" s="28">
        <f>E16*G16</f>
        <v>4</v>
      </c>
      <c r="J16" s="28">
        <f>E16*H16</f>
        <v>6</v>
      </c>
      <c r="K16" s="29" t="inlineStr">
        <is>
          <t>Estimate - not priced in source doc. Connects display touch controller to RPi USB port.</t>
        </is>
      </c>
      <c r="L16" s="30" t="inlineStr">
        <is>
          <t>Vention Micro USB to USB-A Data Cable</t>
        </is>
      </c>
    </row>
    <row r="17" ht="23.85" customHeight="1" s="18">
      <c r="A17" s="26" t="n">
        <v>11</v>
      </c>
      <c r="B17" s="26" t="inlineStr">
        <is>
          <t>Cabling</t>
        </is>
      </c>
      <c r="C17" s="26" t="inlineStr">
        <is>
          <t>3.5mm AUX Stereo Audio Cable (3ft)</t>
        </is>
      </c>
      <c r="D17" s="26" t="inlineStr">
        <is>
          <t>—</t>
        </is>
      </c>
      <c r="E17" s="26" t="n">
        <v>1</v>
      </c>
      <c r="F17" s="27" t="inlineStr">
        <is>
          <t>Required</t>
        </is>
      </c>
      <c r="G17" s="28" t="n">
        <v>5</v>
      </c>
      <c r="H17" s="28" t="n">
        <v>8</v>
      </c>
      <c r="I17" s="28">
        <f>E17*G17</f>
        <v>5</v>
      </c>
      <c r="J17" s="28">
        <f>E17*H17</f>
        <v>8</v>
      </c>
      <c r="K17" s="29" t="inlineStr">
        <is>
          <t>Estimate - not priced in source doc. Connects DAC/isolator output to car AUX input.</t>
        </is>
      </c>
      <c r="L17" s="30" t="inlineStr">
        <is>
          <t>3.5mm Aux Cable Male to Male, 1M/2M/3M options</t>
        </is>
      </c>
    </row>
    <row r="18" ht="23.85" customHeight="1" s="18">
      <c r="A18" s="26" t="n">
        <v>12</v>
      </c>
      <c r="B18" s="26" t="inlineStr">
        <is>
          <t>Cabling</t>
        </is>
      </c>
      <c r="C18" s="26" t="inlineStr">
        <is>
          <t>Inline Fuse Tap Adapter (12V)</t>
        </is>
      </c>
      <c r="D18" s="26" t="inlineStr">
        <is>
          <t>—</t>
        </is>
      </c>
      <c r="E18" s="26" t="n">
        <v>2</v>
      </c>
      <c r="F18" s="27" t="inlineStr">
        <is>
          <t>Required</t>
        </is>
      </c>
      <c r="G18" s="28" t="n">
        <v>3</v>
      </c>
      <c r="H18" s="28" t="n">
        <v>5</v>
      </c>
      <c r="I18" s="28">
        <f>E18*G18</f>
        <v>6</v>
      </c>
      <c r="J18" s="28">
        <f>E18*H18</f>
        <v>10</v>
      </c>
      <c r="K18" s="29" t="inlineStr">
        <is>
          <t>Estimate - not priced in source doc. One per tapped fuse slot (BATT + ACC) for the power HAT.</t>
        </is>
      </c>
      <c r="L18" s="30" t="inlineStr">
        <is>
          <t>Mini/Small/Medium Car Fuse Holder Add-a-Circuit Tap (multi-pack)</t>
        </is>
      </c>
    </row>
    <row r="19" ht="15" customHeight="1" s="18">
      <c r="A19" s="23" t="inlineStr">
        <is>
          <t>Optional Add-ons</t>
        </is>
      </c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5" t="n"/>
    </row>
    <row r="20" ht="46.25" customHeight="1" s="18">
      <c r="A20" s="26" t="n">
        <v>13</v>
      </c>
      <c r="B20" s="26" t="inlineStr">
        <is>
          <t>FM Transmitter (optional)</t>
        </is>
      </c>
      <c r="C20" s="26" t="inlineStr">
        <is>
          <t>Si4713 FM Transmitter Breakout</t>
        </is>
      </c>
      <c r="D20" s="26" t="inlineStr">
        <is>
          <t>Adafruit Si4713 (I2C, RDS support)</t>
        </is>
      </c>
      <c r="E20" s="26" t="n">
        <v>1</v>
      </c>
      <c r="F20" s="32" t="inlineStr">
        <is>
          <t>Optional</t>
        </is>
      </c>
      <c r="G20" s="28" t="n">
        <v>15</v>
      </c>
      <c r="H20" s="28" t="n">
        <v>20</v>
      </c>
      <c r="I20" s="28">
        <f>E20*G20</f>
        <v>15</v>
      </c>
      <c r="J20" s="28">
        <f>E20*H20</f>
        <v>20</v>
      </c>
      <c r="K20" s="29" t="inlineStr">
        <is>
          <t>Estimate - not priced in source doc; see docs/fm_hardware_guide.md. Broadcasts audio to car radio with RDS station/song text. Software-only GPIO option exists at $0 (Pi-FM-RDS) but has no RDS support.</t>
        </is>
      </c>
      <c r="L20" s="30" t="inlineStr">
        <is>
          <t>FM Transmitter Module SI4713 (CJMCU-4713 breakout)</t>
        </is>
      </c>
    </row>
    <row r="22" ht="15" customHeight="1" s="18">
      <c r="A22" s="33" t="inlineStr">
        <is>
          <t>Required items only — subtotal</t>
        </is>
      </c>
      <c r="I22" s="34">
        <f>SUMIFS(I6:I13,F6:F13,"Required")+SUMIFS(I15:I18,F15:F18,"Required")+SUMIFS(I20,F20,"Required")</f>
        <v>168</v>
      </c>
      <c r="J22" s="34">
        <f>SUMIFS(J6:J13,F6:F13,"Required")+SUMIFS(J15:J18,F15:F18,"Required")+SUMIFS(J20,F20,"Required")</f>
        <v>261</v>
      </c>
    </row>
    <row r="23" ht="15" customHeight="1" s="18">
      <c r="A23" s="35" t="inlineStr">
        <is>
          <t>All items (incl. optional) — total</t>
        </is>
      </c>
      <c r="I23" s="36">
        <f>SUM(I6:I13)+SUM(I15:I18)+SUM(I20)</f>
        <v>221</v>
      </c>
      <c r="J23" s="36">
        <f>SUM(J6:J13)+SUM(J15:J18)+SUM(J20)</f>
        <v>329</v>
      </c>
    </row>
    <row r="25" ht="15" customHeight="1" s="18">
      <c r="A25" s="37" t="inlineStr">
        <is>
          <t>Reference: source doc's own budget summary — Minimum build ~$125–$150, Deluxe build (RPi 5 + Carlinkit + DAC + mount) ~$185–$220.</t>
        </is>
      </c>
    </row>
  </sheetData>
  <mergeCells count="8">
    <mergeCell ref="A1:J1"/>
    <mergeCell ref="A25:K25"/>
    <mergeCell ref="A19:K19"/>
    <mergeCell ref="A14:K14"/>
    <mergeCell ref="A2:J2"/>
    <mergeCell ref="A23:H23"/>
    <mergeCell ref="A5:K5"/>
    <mergeCell ref="A22:H22"/>
  </mergeCells>
  <hyperlinks>
    <hyperlink xmlns:r="http://schemas.openxmlformats.org/officeDocument/2006/relationships" ref="L6" r:id="rId1"/>
    <hyperlink xmlns:r="http://schemas.openxmlformats.org/officeDocument/2006/relationships" ref="L7" r:id="rId2"/>
    <hyperlink xmlns:r="http://schemas.openxmlformats.org/officeDocument/2006/relationships" ref="L9" r:id="rId3"/>
    <hyperlink xmlns:r="http://schemas.openxmlformats.org/officeDocument/2006/relationships" ref="L10" r:id="rId4"/>
    <hyperlink xmlns:r="http://schemas.openxmlformats.org/officeDocument/2006/relationships" ref="L11" r:id="rId5"/>
    <hyperlink xmlns:r="http://schemas.openxmlformats.org/officeDocument/2006/relationships" ref="L12" r:id="rId6"/>
    <hyperlink xmlns:r="http://schemas.openxmlformats.org/officeDocument/2006/relationships" ref="L13" r:id="rId7"/>
    <hyperlink xmlns:r="http://schemas.openxmlformats.org/officeDocument/2006/relationships" ref="L15" r:id="rId8"/>
    <hyperlink xmlns:r="http://schemas.openxmlformats.org/officeDocument/2006/relationships" ref="L16" r:id="rId9"/>
    <hyperlink xmlns:r="http://schemas.openxmlformats.org/officeDocument/2006/relationships" ref="L17" r:id="rId10"/>
    <hyperlink xmlns:r="http://schemas.openxmlformats.org/officeDocument/2006/relationships" ref="L18" r:id="rId11"/>
    <hyperlink xmlns:r="http://schemas.openxmlformats.org/officeDocument/2006/relationships" ref="L20" r:id="rId1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0" customWidth="1" style="17" min="1" max="1"/>
  </cols>
  <sheetData>
    <row r="1" ht="17.35" customHeight="1" s="18">
      <c r="A1" s="19" t="inlineStr">
        <is>
          <t>Notes &amp; Assumptions</t>
        </is>
      </c>
    </row>
    <row r="2" ht="15" customHeight="1" s="18">
      <c r="A2" s="38" t="n"/>
    </row>
    <row r="3" ht="15" customHeight="1" s="18">
      <c r="A3" s="38" t="inlineStr">
        <is>
          <t>Source: docs/hardware_shopping_list.md, docs/hardware_assembly_guide.md, docs/fm_hardware_guide.md (this project's own docs folder).</t>
        </is>
      </c>
    </row>
    <row r="4" ht="15" customHeight="1" s="18">
      <c r="A4" s="38" t="n"/>
    </row>
    <row r="5" ht="23.85" customHeight="1" s="18">
      <c r="A5" s="38" t="inlineStr">
        <is>
          <t>This list covers the Raspberry Pi-based build used for prototyping and development — it is separate from, and not needed alongside, the custom carrier-board (SoM) build in hardware/pcb/, which replaces the Pi entirely for mass production.</t>
        </is>
      </c>
    </row>
    <row r="6" ht="15" customHeight="1" s="18">
      <c r="A6" s="38" t="n"/>
    </row>
    <row r="7" ht="15" customHeight="1" s="18">
      <c r="A7" s="38" t="inlineStr">
        <is>
          <t>Price ranges for the 8 core items and the ground-loop isolator are taken directly from the shopping list doc's own price estimates.</t>
        </is>
      </c>
    </row>
    <row r="8" ht="15" customHeight="1" s="18">
      <c r="A8" s="38" t="n"/>
    </row>
    <row r="9" ht="23.85" customHeight="1" s="18">
      <c r="A9" s="38" t="inlineStr">
        <is>
          <t>The 3 cable items, the fuse tap adapter, and the FM transmitter breakout are NOT priced in the source docs — those rows are marked "Estimate" in the Notes column and use rough market-rate placeholders. Verify actual prices before ordering.</t>
        </is>
      </c>
    </row>
    <row r="10" ht="15" customHeight="1" s="18">
      <c r="A10" s="38" t="n"/>
    </row>
    <row r="11" ht="35.05" customHeight="1" s="18">
      <c r="A11" s="38" t="inlineStr">
        <is>
          <t>The USB Hi-Fi DAC and 3.5mm Ground Loop Isolator are priced as one bundled line item ($15-22) per the source doc's Master Parts List; the isolator is mentioned a second time in the doc's Wiring &amp; Cable Accessories section as a standalone $8-10 item, but that is the same physical part — it is NOT re-added as a separate cost line here to avoid double-counting.</t>
        </is>
      </c>
    </row>
    <row r="12" ht="15" customHeight="1" s="18">
      <c r="A12" s="38" t="n"/>
    </row>
    <row r="13" ht="23.85" customHeight="1" s="18">
      <c r="A13" s="38" t="inlineStr">
        <is>
          <t>FM transmitter hardware is optional: docs/fm_hardware_guide.md also documents a $0 software-only path (direct GPIO PWM via Pi-FM-RDS) that needs only a ~20cm wire antenna, but it has no RDS (station name/song title) support, unlike the Si4713.</t>
        </is>
      </c>
    </row>
    <row r="14" ht="15" customHeight="1" s="18">
      <c r="A14" s="38" t="n"/>
    </row>
    <row r="15" ht="15" customHeight="1" s="18">
      <c r="A15" s="38" t="inlineStr">
        <is>
          <t>The Carlinkit wireless dongle is optional — skip it if you're fine with wired Android Auto / CarPlay or the project's native protocol implementation.</t>
        </is>
      </c>
    </row>
    <row r="16" ht="15" customHeight="1" s="18">
      <c r="A16" s="38" t="n"/>
    </row>
    <row r="17" ht="23.85" customHeight="1" s="18">
      <c r="A17" s="38" t="inlineStr">
        <is>
          <t>Quantities assume one head unit build. Fuse Tap Adapter quantity is 2 (one for the constant-battery line, one for the switched-ignition line) per the 3-wire power HAT wiring instructions in docs/hardware_assembly_guide.md.</t>
        </is>
      </c>
    </row>
    <row r="19">
      <c r="A19" s="39" t="inlineStr">
        <is>
          <t>AliExpress links (column L on the Parts List tab) were found by searching AliExpress on 2026-08-13 and picking a reasonably well-reviewed listing per item - they are NOT verified purchases. Check seller rating, current price, and specs before ordering. The Automotive Power HAT (row 3) has no AliExpress equivalent - that product category (CarPiHAT / StromPi 3 / Mausberry Switch) is not carried on the platform; source it from Amazon, Tindie, or the manufacturer directly.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2026-08-14T01:17:58Z</dcterms:created>
  <dcterms:modified xmlns:dcterms="http://purl.org/dc/terms/" xmlns:xsi="http://www.w3.org/2001/XMLSchema-instance" xsi:type="dcterms:W3CDTF">2026-08-14T01:42:29Z</dcterms:modified>
  <cp:revision>0</cp:revision>
</cp:coreProperties>
</file>