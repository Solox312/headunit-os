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5"/>
  <workbookPr/>
  <mc:AlternateContent xmlns:mc="http://schemas.openxmlformats.org/markup-compatibility/2006">
    <mc:Choice Requires="x15">
      <x15ac:absPath xmlns:x15ac="http://schemas.microsoft.com/office/spreadsheetml/2010/11/ac" url="C:\Users\cnieves.wmg\Desktop\Projects\headunit-os\docs\"/>
    </mc:Choice>
  </mc:AlternateContent>
  <xr:revisionPtr revIDLastSave="0" documentId="11_5F4DD7601DE8D3CE867CA128C5407E851215773C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Notes &amp; Assump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2" i="1" l="1"/>
  <c r="G41" i="1"/>
  <c r="G40" i="1"/>
  <c r="G38" i="1"/>
  <c r="G37" i="1"/>
  <c r="G36" i="1"/>
  <c r="G35" i="1"/>
  <c r="G33" i="1"/>
  <c r="G32" i="1"/>
  <c r="G31" i="1"/>
  <c r="G29" i="1"/>
  <c r="G28" i="1"/>
  <c r="G27" i="1"/>
  <c r="G26" i="1"/>
  <c r="G24" i="1"/>
  <c r="G23" i="1"/>
  <c r="G22" i="1"/>
  <c r="G20" i="1"/>
  <c r="G19" i="1"/>
  <c r="G17" i="1"/>
  <c r="G16" i="1"/>
  <c r="G15" i="1"/>
  <c r="G14" i="1"/>
  <c r="G12" i="1"/>
  <c r="G11" i="1"/>
  <c r="G10" i="1"/>
  <c r="G9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<sst xmlns="http://schemas.openxmlformats.org/spreadsheetml/2006/main" count="148" uniqueCount="142">
  <si>
    <t>Ref Des / Block</t>
  </si>
  <si>
    <t>Component</t>
  </si>
  <si>
    <t>Part Number (example)</t>
  </si>
  <si>
    <t>Function</t>
  </si>
  <si>
    <t>Qty per Board</t>
  </si>
  <si>
    <t>Est. Unit Cost (100+ units, USD)</t>
  </si>
  <si>
    <t>Est. Line Cost (USD)</t>
  </si>
  <si>
    <t>Power Input &amp; Protection</t>
  </si>
  <si>
    <t>Q1</t>
  </si>
  <si>
    <t>Reverse polarity P-MOSFET</t>
  </si>
  <si>
    <t>DMP3098L-7</t>
  </si>
  <si>
    <t>Blocks reverse-battery connection (ISO 16750-2)</t>
  </si>
  <si>
    <t>D1</t>
  </si>
  <si>
    <t>TVS diode, load dump clamp</t>
  </si>
  <si>
    <t>SMAJ15A</t>
  </si>
  <si>
    <t>Clamps ISO 7637-2 pulse 5a/5b transients</t>
  </si>
  <si>
    <t>F1</t>
  </si>
  <si>
    <t>Resettable PTC fuse, 3A</t>
  </si>
  <si>
    <t>MF-MSMF300</t>
  </si>
  <si>
    <t>Overcurrent protection on 12V input</t>
  </si>
  <si>
    <t>C1-C2</t>
  </si>
  <si>
    <t>Bulk input caps (100uF electrolytic + 0.1uF ceramic)</t>
  </si>
  <si>
    <t>generic</t>
  </si>
  <si>
    <t>Filters cranking/alternator noise</t>
  </si>
  <si>
    <t>J1</t>
  </si>
  <si>
    <t>3-pin automotive harness connector</t>
  </si>
  <si>
    <t>Molex Mini-Fit Jr 3-pin</t>
  </si>
  <si>
    <t>BATT / ACC / GND input</t>
  </si>
  <si>
    <t>DC-DC Power Conversion</t>
  </si>
  <si>
    <t>U1</t>
  </si>
  <si>
    <t>Synchronous buck converter, 12V-&gt;5V 3A</t>
  </si>
  <si>
    <t>TPS54331DR</t>
  </si>
  <si>
    <t>Main 5V rail for SoM + peripherals</t>
  </si>
  <si>
    <t>U2</t>
  </si>
  <si>
    <t>Buck/LDO, 5V-&gt;3V3</t>
  </si>
  <si>
    <t>TPS62203 or AMS1117-3.3</t>
  </si>
  <si>
    <t>3V3 rail for touch/FM/codec</t>
  </si>
  <si>
    <t>U3</t>
  </si>
  <si>
    <t>Low-Iq standby LDO (off BATT)</t>
  </si>
  <si>
    <t>TPS7A02</t>
  </si>
  <si>
    <t>Keeps RTC/wake circuitry alive during ignition-off</t>
  </si>
  <si>
    <t>L1-L2</t>
  </si>
  <si>
    <t>Power inductors</t>
  </si>
  <si>
    <t>generic per U1/U2 datasheet</t>
  </si>
  <si>
    <t>Buck converter inductors</t>
  </si>
  <si>
    <t>Ignition Sense &amp; Safe Shutdown</t>
  </si>
  <si>
    <t>U4</t>
  </si>
  <si>
    <t>Comparator</t>
  </si>
  <si>
    <t>TLV3201</t>
  </si>
  <si>
    <t>Converts ACC line divider to clean logic GPIO signal</t>
  </si>
  <si>
    <t>R1-R2</t>
  </si>
  <si>
    <t>Sense divider resistors (100k/22k)</t>
  </si>
  <si>
    <t>generic 1%</t>
  </si>
  <si>
    <t>Divides 12V ACC line to comparator reference</t>
  </si>
  <si>
    <t>R3, C3</t>
  </si>
  <si>
    <t>RC debounce (10k / 1uF)</t>
  </si>
  <si>
    <t>Debounces cranking voltage sag on ACC sense</t>
  </si>
  <si>
    <t>U5</t>
  </si>
  <si>
    <t>Load switch, GPIO controlled</t>
  </si>
  <si>
    <t>AP2331WG-7</t>
  </si>
  <si>
    <t>Cuts 5V rail after clean OS halt</t>
  </si>
  <si>
    <t>Compute (SoM)</t>
  </si>
  <si>
    <t>SOM1</t>
  </si>
  <si>
    <t>200-pin SODIMM socket</t>
  </si>
  <si>
    <t>generic DDR2 SODIMM socket</t>
  </si>
  <si>
    <t>Accepts RK3566/RK3568 SoM</t>
  </si>
  <si>
    <t>SOM-MOD</t>
  </si>
  <si>
    <t>System-on-Module, RK3566/RK3568</t>
  </si>
  <si>
    <t>Radxa CM3S (4-8GB LPDDR4 / 32-128GB eMMC)</t>
  </si>
  <si>
    <t>Main compute: CPU, DDR, eMMC, WiFi/BT</t>
  </si>
  <si>
    <t>Display Interface</t>
  </si>
  <si>
    <t>J2</t>
  </si>
  <si>
    <t>40-pin 0.5mm FPC connector</t>
  </si>
  <si>
    <t>generic FPC</t>
  </si>
  <si>
    <t>MIPI-DSI + I2C touch + backlight to panel ribbon</t>
  </si>
  <si>
    <t>PANEL1</t>
  </si>
  <si>
    <t>10.1" IPS capacitive touch panel, 800x1280, 4-lane MIPI-DSI</t>
  </si>
  <si>
    <t>Waveshare 10.1-DSI-TOUCH-A class</t>
  </si>
  <si>
    <t>Main display + touch (GT911 touch IC on panel)</t>
  </si>
  <si>
    <t>U6</t>
  </si>
  <si>
    <t>Backlight boost LED driver, PWM dimmable</t>
  </si>
  <si>
    <t>TPS61165</t>
  </si>
  <si>
    <t>Drives panel backlight, PWM from SoM</t>
  </si>
  <si>
    <t>Audio Path</t>
  </si>
  <si>
    <t>U7</t>
  </si>
  <si>
    <t>Stereo audio codec, I2S</t>
  </si>
  <si>
    <t>WM8960 or ES8388</t>
  </si>
  <si>
    <t>Onboard DAC/ADC, replaces USB DAC dongle</t>
  </si>
  <si>
    <t>T1-T2</t>
  </si>
  <si>
    <t>Audio isolation transformer, 1:1 stereo pair</t>
  </si>
  <si>
    <t>Bourns LM-1547 class</t>
  </si>
  <si>
    <t>Galvanic ground isolation for AUX out (kills alternator whine)</t>
  </si>
  <si>
    <t>J3</t>
  </si>
  <si>
    <t>3.5mm TRS AUX jack</t>
  </si>
  <si>
    <t>Audio output to car AUX</t>
  </si>
  <si>
    <t>J4</t>
  </si>
  <si>
    <t>3.5mm mic jack / electret footprint</t>
  </si>
  <si>
    <t>Mic input for voice commands</t>
  </si>
  <si>
    <t>FM Transmitter</t>
  </si>
  <si>
    <t>U8</t>
  </si>
  <si>
    <t>FM transmitter with RDS, I2C</t>
  </si>
  <si>
    <t>Si4713-B30-GM</t>
  </si>
  <si>
    <t>Broadcasts audio to car radio (88-108MHz)</t>
  </si>
  <si>
    <t>Y1</t>
  </si>
  <si>
    <t>32.768kHz crystal</t>
  </si>
  <si>
    <t>generic per Si4713 datasheet</t>
  </si>
  <si>
    <t>Si4713 reference clock</t>
  </si>
  <si>
    <t>J5</t>
  </si>
  <si>
    <t>SMA or U.FL antenna connector</t>
  </si>
  <si>
    <t>FM antenna connection</t>
  </si>
  <si>
    <t>USB &amp; Debug</t>
  </si>
  <si>
    <t>J6-J7</t>
  </si>
  <si>
    <t>USB 2.0 Type-A connector</t>
  </si>
  <si>
    <t>Mic (if not using onboard) / wireless AA-CarPlay dongle</t>
  </si>
  <si>
    <t>J8</t>
  </si>
  <si>
    <t>USB-C connector (OTG/debug)</t>
  </si>
  <si>
    <t>Firmware flash, eMMC provisioning, serial debug</t>
  </si>
  <si>
    <t>J9</t>
  </si>
  <si>
    <t>4-pin UART debug header</t>
  </si>
  <si>
    <t>generic 0.1" header</t>
  </si>
  <si>
    <t>Console access</t>
  </si>
  <si>
    <t>SD1</t>
  </si>
  <si>
    <t>microSD slot</t>
  </si>
  <si>
    <t>generic push-push</t>
  </si>
  <si>
    <t>A/B image flashing, field recovery</t>
  </si>
  <si>
    <t>PCB &amp; Assembly</t>
  </si>
  <si>
    <t>PCB</t>
  </si>
  <si>
    <t>6-layer carrier PCB, controlled impedance</t>
  </si>
  <si>
    <t>custom fab (JLCPCB/PCBWay class)</t>
  </si>
  <si>
    <t>Base board, DSI diff-pair + DDR-adjacent routing</t>
  </si>
  <si>
    <t>ASSY</t>
  </si>
  <si>
    <t>SMT assembly + testing</t>
  </si>
  <si>
    <t>contract assembler</t>
  </si>
  <si>
    <t>Per-unit assembly labor at 100+ qty</t>
  </si>
  <si>
    <t>ESTIMATED TOTAL BOM COST PER UNIT</t>
  </si>
  <si>
    <t>Notes &amp; Assumptions</t>
  </si>
  <si>
    <t>1. Unit costs are rough component-level estimates at 100+ unit volume pricing, based on typical distributor pricing for comparable parts as of Aug 2026. Get formal quotes from Digi-Key/Mouser/LCSC and the SoM vendor before finalizing a BOM for production.</t>
  </si>
  <si>
    <t>2. SoM cost (Radxa CM3S, ~$35) varies significantly by RAM/eMMC configuration selected (4GB/32GB vs 8GB/128GB) and order volume — confirm with Radxa or your chosen SoM vendor directly.</t>
  </si>
  <si>
    <t>3. Display panel cost (~$38) is for a hobbyist/prototype-quantity panel (Waveshare-class). At mass-production volume, sourcing the same panel spec directly from an LCD OEM/vendor in China will likely be substantially cheaper — get a factory quote.</t>
  </si>
  <si>
    <t>4. PCB and assembly costs assume a 6-layer board at 100+ unit prototype-to-low-volume pricing; costs drop further at higher volumes (1000+ units).</t>
  </si>
  <si>
    <t>5. This BOM excludes enclosure/mounting hardware, cabling/harness beyond the 3-pin power connector, and any certification costs (FCC/CE for the FM transmitter and wireless SoM radios are required for a commercial product).</t>
  </si>
  <si>
    <t>6. Reference: see docs/pcb_carrier_board_design.md for the full schematic-level block descriptions this BOM corresponds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</si>
</sst>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BEAFE"/>
        <bgColor rgb="FFCCFFFF"/>
      </patternFill>
    </fill>
    <fill>
      <patternFill patternType="solid">
        <fgColor rgb="FFFEF3C7"/>
        <bgColor rgb="FFFFFF9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right"/>
    </xf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4" fillId="4" borderId="1" xfId="0" applyNumberFormat="1" applyFont="1" applyFill="1" applyBorder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34" customWidth="1"/>
    <col min="3" max="3" width="30" customWidth="1"/>
    <col min="4" max="4" width="46" customWidth="1"/>
    <col min="5" max="5" width="14" customWidth="1"/>
    <col min="6" max="6" width="22" customWidth="1"/>
    <col min="7" max="7" width="16" customWidth="1"/>
  </cols>
  <sheetData>
    <row r="1" spans="1:7" ht="25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  <c r="E3" s="5">
        <v>1</v>
      </c>
      <c r="F3" s="6">
        <v>0.45</v>
      </c>
      <c r="G3" s="6">
        <f>E3*F3</f>
        <v>0.45</v>
      </c>
    </row>
    <row r="4" spans="1:7" x14ac:dyDescent="0.25">
      <c r="A4" s="4" t="s">
        <v>12</v>
      </c>
      <c r="B4" s="4" t="s">
        <v>13</v>
      </c>
      <c r="C4" s="4" t="s">
        <v>14</v>
      </c>
      <c r="D4" s="4" t="s">
        <v>15</v>
      </c>
      <c r="E4" s="5">
        <v>1</v>
      </c>
      <c r="F4" s="6">
        <v>0.15</v>
      </c>
      <c r="G4" s="6">
        <f>E4*F4</f>
        <v>0.15</v>
      </c>
    </row>
    <row r="5" spans="1:7" x14ac:dyDescent="0.25">
      <c r="A5" s="4" t="s">
        <v>16</v>
      </c>
      <c r="B5" s="4" t="s">
        <v>17</v>
      </c>
      <c r="C5" s="4" t="s">
        <v>18</v>
      </c>
      <c r="D5" s="4" t="s">
        <v>19</v>
      </c>
      <c r="E5" s="5">
        <v>1</v>
      </c>
      <c r="F5" s="6">
        <v>0.2</v>
      </c>
      <c r="G5" s="6">
        <f>E5*F5</f>
        <v>0.2</v>
      </c>
    </row>
    <row r="6" spans="1:7" ht="26.25" x14ac:dyDescent="0.25">
      <c r="A6" s="4" t="s">
        <v>20</v>
      </c>
      <c r="B6" s="4" t="s">
        <v>21</v>
      </c>
      <c r="C6" s="4" t="s">
        <v>22</v>
      </c>
      <c r="D6" s="4" t="s">
        <v>23</v>
      </c>
      <c r="E6" s="5">
        <v>2</v>
      </c>
      <c r="F6" s="6">
        <v>0.3</v>
      </c>
      <c r="G6" s="6">
        <f>E6*F6</f>
        <v>0.6</v>
      </c>
    </row>
    <row r="7" spans="1:7" x14ac:dyDescent="0.25">
      <c r="A7" s="4" t="s">
        <v>24</v>
      </c>
      <c r="B7" s="4" t="s">
        <v>25</v>
      </c>
      <c r="C7" s="4" t="s">
        <v>26</v>
      </c>
      <c r="D7" s="4" t="s">
        <v>27</v>
      </c>
      <c r="E7" s="5">
        <v>1</v>
      </c>
      <c r="F7" s="6">
        <v>0.6</v>
      </c>
      <c r="G7" s="6">
        <f>E7*F7</f>
        <v>0.6</v>
      </c>
    </row>
    <row r="8" spans="1:7" x14ac:dyDescent="0.25">
      <c r="A8" s="2" t="s">
        <v>28</v>
      </c>
      <c r="B8" s="2"/>
      <c r="C8" s="2"/>
      <c r="D8" s="2"/>
      <c r="E8" s="2"/>
      <c r="F8" s="2"/>
      <c r="G8" s="2"/>
    </row>
    <row r="9" spans="1:7" ht="26.25" x14ac:dyDescent="0.25">
      <c r="A9" s="4" t="s">
        <v>29</v>
      </c>
      <c r="B9" s="4" t="s">
        <v>30</v>
      </c>
      <c r="C9" s="4" t="s">
        <v>31</v>
      </c>
      <c r="D9" s="4" t="s">
        <v>32</v>
      </c>
      <c r="E9" s="5">
        <v>1</v>
      </c>
      <c r="F9" s="6">
        <v>1.8</v>
      </c>
      <c r="G9" s="6">
        <f>E9*F9</f>
        <v>1.8</v>
      </c>
    </row>
    <row r="10" spans="1:7" x14ac:dyDescent="0.25">
      <c r="A10" s="4" t="s">
        <v>33</v>
      </c>
      <c r="B10" s="4" t="s">
        <v>34</v>
      </c>
      <c r="C10" s="4" t="s">
        <v>35</v>
      </c>
      <c r="D10" s="4" t="s">
        <v>36</v>
      </c>
      <c r="E10" s="5">
        <v>1</v>
      </c>
      <c r="F10" s="6">
        <v>0.6</v>
      </c>
      <c r="G10" s="6">
        <f>E10*F10</f>
        <v>0.6</v>
      </c>
    </row>
    <row r="11" spans="1:7" x14ac:dyDescent="0.25">
      <c r="A11" s="4" t="s">
        <v>37</v>
      </c>
      <c r="B11" s="4" t="s">
        <v>38</v>
      </c>
      <c r="C11" s="4" t="s">
        <v>39</v>
      </c>
      <c r="D11" s="4" t="s">
        <v>40</v>
      </c>
      <c r="E11" s="5">
        <v>1</v>
      </c>
      <c r="F11" s="6">
        <v>0.55000000000000004</v>
      </c>
      <c r="G11" s="6">
        <f>E11*F11</f>
        <v>0.55000000000000004</v>
      </c>
    </row>
    <row r="12" spans="1:7" x14ac:dyDescent="0.25">
      <c r="A12" s="4" t="s">
        <v>41</v>
      </c>
      <c r="B12" s="4" t="s">
        <v>42</v>
      </c>
      <c r="C12" s="4" t="s">
        <v>43</v>
      </c>
      <c r="D12" s="4" t="s">
        <v>44</v>
      </c>
      <c r="E12" s="5">
        <v>2</v>
      </c>
      <c r="F12" s="6">
        <v>0.4</v>
      </c>
      <c r="G12" s="6">
        <f>E12*F12</f>
        <v>0.8</v>
      </c>
    </row>
    <row r="13" spans="1:7" x14ac:dyDescent="0.25">
      <c r="A13" s="2" t="s">
        <v>45</v>
      </c>
      <c r="B13" s="2"/>
      <c r="C13" s="2"/>
      <c r="D13" s="2"/>
      <c r="E13" s="2"/>
      <c r="F13" s="2"/>
      <c r="G13" s="2"/>
    </row>
    <row r="14" spans="1:7" x14ac:dyDescent="0.25">
      <c r="A14" s="4" t="s">
        <v>46</v>
      </c>
      <c r="B14" s="4" t="s">
        <v>47</v>
      </c>
      <c r="C14" s="4" t="s">
        <v>48</v>
      </c>
      <c r="D14" s="4" t="s">
        <v>49</v>
      </c>
      <c r="E14" s="5">
        <v>1</v>
      </c>
      <c r="F14" s="6">
        <v>0.4</v>
      </c>
      <c r="G14" s="6">
        <f>E14*F14</f>
        <v>0.4</v>
      </c>
    </row>
    <row r="15" spans="1:7" x14ac:dyDescent="0.25">
      <c r="A15" s="4" t="s">
        <v>50</v>
      </c>
      <c r="B15" s="4" t="s">
        <v>51</v>
      </c>
      <c r="C15" s="4" t="s">
        <v>52</v>
      </c>
      <c r="D15" s="4" t="s">
        <v>53</v>
      </c>
      <c r="E15" s="5">
        <v>2</v>
      </c>
      <c r="F15" s="6">
        <v>0.02</v>
      </c>
      <c r="G15" s="6">
        <f>E15*F15</f>
        <v>0.04</v>
      </c>
    </row>
    <row r="16" spans="1:7" x14ac:dyDescent="0.25">
      <c r="A16" s="4" t="s">
        <v>54</v>
      </c>
      <c r="B16" s="4" t="s">
        <v>55</v>
      </c>
      <c r="C16" s="4" t="s">
        <v>22</v>
      </c>
      <c r="D16" s="4" t="s">
        <v>56</v>
      </c>
      <c r="E16" s="5">
        <v>2</v>
      </c>
      <c r="F16" s="6">
        <v>0.05</v>
      </c>
      <c r="G16" s="6">
        <f>E16*F16</f>
        <v>0.1</v>
      </c>
    </row>
    <row r="17" spans="1:7" x14ac:dyDescent="0.25">
      <c r="A17" s="4" t="s">
        <v>57</v>
      </c>
      <c r="B17" s="4" t="s">
        <v>58</v>
      </c>
      <c r="C17" s="4" t="s">
        <v>59</v>
      </c>
      <c r="D17" s="4" t="s">
        <v>60</v>
      </c>
      <c r="E17" s="5">
        <v>1</v>
      </c>
      <c r="F17" s="6">
        <v>0.35</v>
      </c>
      <c r="G17" s="6">
        <f>E17*F17</f>
        <v>0.35</v>
      </c>
    </row>
    <row r="18" spans="1:7" x14ac:dyDescent="0.25">
      <c r="A18" s="2" t="s">
        <v>61</v>
      </c>
      <c r="B18" s="2"/>
      <c r="C18" s="2"/>
      <c r="D18" s="2"/>
      <c r="E18" s="2"/>
      <c r="F18" s="2"/>
      <c r="G18" s="2"/>
    </row>
    <row r="19" spans="1:7" x14ac:dyDescent="0.25">
      <c r="A19" s="4" t="s">
        <v>62</v>
      </c>
      <c r="B19" s="4" t="s">
        <v>63</v>
      </c>
      <c r="C19" s="4" t="s">
        <v>64</v>
      </c>
      <c r="D19" s="4" t="s">
        <v>65</v>
      </c>
      <c r="E19" s="5">
        <v>1</v>
      </c>
      <c r="F19" s="6">
        <v>1.2</v>
      </c>
      <c r="G19" s="6">
        <f>E19*F19</f>
        <v>1.2</v>
      </c>
    </row>
    <row r="20" spans="1:7" ht="26.25" x14ac:dyDescent="0.25">
      <c r="A20" s="4" t="s">
        <v>66</v>
      </c>
      <c r="B20" s="4" t="s">
        <v>67</v>
      </c>
      <c r="C20" s="4" t="s">
        <v>68</v>
      </c>
      <c r="D20" s="4" t="s">
        <v>69</v>
      </c>
      <c r="E20" s="5">
        <v>1</v>
      </c>
      <c r="F20" s="6">
        <v>35</v>
      </c>
      <c r="G20" s="6">
        <f>E20*F20</f>
        <v>35</v>
      </c>
    </row>
    <row r="21" spans="1:7" x14ac:dyDescent="0.25">
      <c r="A21" s="2" t="s">
        <v>70</v>
      </c>
      <c r="B21" s="2"/>
      <c r="C21" s="2"/>
      <c r="D21" s="2"/>
      <c r="E21" s="2"/>
      <c r="F21" s="2"/>
      <c r="G21" s="2"/>
    </row>
    <row r="22" spans="1:7" x14ac:dyDescent="0.25">
      <c r="A22" s="4" t="s">
        <v>71</v>
      </c>
      <c r="B22" s="4" t="s">
        <v>72</v>
      </c>
      <c r="C22" s="4" t="s">
        <v>73</v>
      </c>
      <c r="D22" s="4" t="s">
        <v>74</v>
      </c>
      <c r="E22" s="5">
        <v>1</v>
      </c>
      <c r="F22" s="6">
        <v>0.5</v>
      </c>
      <c r="G22" s="6">
        <f>E22*F22</f>
        <v>0.5</v>
      </c>
    </row>
    <row r="23" spans="1:7" ht="26.25" x14ac:dyDescent="0.25">
      <c r="A23" s="4" t="s">
        <v>75</v>
      </c>
      <c r="B23" s="4" t="s">
        <v>76</v>
      </c>
      <c r="C23" s="4" t="s">
        <v>77</v>
      </c>
      <c r="D23" s="4" t="s">
        <v>78</v>
      </c>
      <c r="E23" s="5">
        <v>1</v>
      </c>
      <c r="F23" s="6">
        <v>38</v>
      </c>
      <c r="G23" s="6">
        <f>E23*F23</f>
        <v>38</v>
      </c>
    </row>
    <row r="24" spans="1:7" ht="26.25" x14ac:dyDescent="0.25">
      <c r="A24" s="4" t="s">
        <v>79</v>
      </c>
      <c r="B24" s="4" t="s">
        <v>80</v>
      </c>
      <c r="C24" s="4" t="s">
        <v>81</v>
      </c>
      <c r="D24" s="4" t="s">
        <v>82</v>
      </c>
      <c r="E24" s="5">
        <v>1</v>
      </c>
      <c r="F24" s="6">
        <v>0.55000000000000004</v>
      </c>
      <c r="G24" s="6">
        <f>E24*F24</f>
        <v>0.55000000000000004</v>
      </c>
    </row>
    <row r="25" spans="1:7" x14ac:dyDescent="0.25">
      <c r="A25" s="2" t="s">
        <v>83</v>
      </c>
      <c r="B25" s="2"/>
      <c r="C25" s="2"/>
      <c r="D25" s="2"/>
      <c r="E25" s="2"/>
      <c r="F25" s="2"/>
      <c r="G25" s="2"/>
    </row>
    <row r="26" spans="1:7" x14ac:dyDescent="0.25">
      <c r="A26" s="4" t="s">
        <v>84</v>
      </c>
      <c r="B26" s="4" t="s">
        <v>85</v>
      </c>
      <c r="C26" s="4" t="s">
        <v>86</v>
      </c>
      <c r="D26" s="4" t="s">
        <v>87</v>
      </c>
      <c r="E26" s="5">
        <v>1</v>
      </c>
      <c r="F26" s="6">
        <v>1.6</v>
      </c>
      <c r="G26" s="6">
        <f>E26*F26</f>
        <v>1.6</v>
      </c>
    </row>
    <row r="27" spans="1:7" ht="26.25" x14ac:dyDescent="0.25">
      <c r="A27" s="4" t="s">
        <v>88</v>
      </c>
      <c r="B27" s="4" t="s">
        <v>89</v>
      </c>
      <c r="C27" s="4" t="s">
        <v>90</v>
      </c>
      <c r="D27" s="4" t="s">
        <v>91</v>
      </c>
      <c r="E27" s="5">
        <v>1</v>
      </c>
      <c r="F27" s="6">
        <v>1.1000000000000001</v>
      </c>
      <c r="G27" s="6">
        <f>E27*F27</f>
        <v>1.1000000000000001</v>
      </c>
    </row>
    <row r="28" spans="1:7" x14ac:dyDescent="0.25">
      <c r="A28" s="4" t="s">
        <v>92</v>
      </c>
      <c r="B28" s="4" t="s">
        <v>93</v>
      </c>
      <c r="C28" s="4" t="s">
        <v>22</v>
      </c>
      <c r="D28" s="4" t="s">
        <v>94</v>
      </c>
      <c r="E28" s="5">
        <v>1</v>
      </c>
      <c r="F28" s="6">
        <v>0.25</v>
      </c>
      <c r="G28" s="6">
        <f>E28*F28</f>
        <v>0.25</v>
      </c>
    </row>
    <row r="29" spans="1:7" x14ac:dyDescent="0.25">
      <c r="A29" s="4" t="s">
        <v>95</v>
      </c>
      <c r="B29" s="4" t="s">
        <v>96</v>
      </c>
      <c r="C29" s="4" t="s">
        <v>22</v>
      </c>
      <c r="D29" s="4" t="s">
        <v>97</v>
      </c>
      <c r="E29" s="5">
        <v>1</v>
      </c>
      <c r="F29" s="6">
        <v>0.2</v>
      </c>
      <c r="G29" s="6">
        <f>E29*F29</f>
        <v>0.2</v>
      </c>
    </row>
    <row r="30" spans="1:7" x14ac:dyDescent="0.25">
      <c r="A30" s="2" t="s">
        <v>98</v>
      </c>
      <c r="B30" s="2"/>
      <c r="C30" s="2"/>
      <c r="D30" s="2"/>
      <c r="E30" s="2"/>
      <c r="F30" s="2"/>
      <c r="G30" s="2"/>
    </row>
    <row r="31" spans="1:7" x14ac:dyDescent="0.25">
      <c r="A31" s="4" t="s">
        <v>99</v>
      </c>
      <c r="B31" s="4" t="s">
        <v>100</v>
      </c>
      <c r="C31" s="4" t="s">
        <v>101</v>
      </c>
      <c r="D31" s="4" t="s">
        <v>102</v>
      </c>
      <c r="E31" s="5">
        <v>1</v>
      </c>
      <c r="F31" s="6">
        <v>2.5</v>
      </c>
      <c r="G31" s="6">
        <f>E31*F31</f>
        <v>2.5</v>
      </c>
    </row>
    <row r="32" spans="1:7" x14ac:dyDescent="0.25">
      <c r="A32" s="4" t="s">
        <v>103</v>
      </c>
      <c r="B32" s="4" t="s">
        <v>104</v>
      </c>
      <c r="C32" s="4" t="s">
        <v>105</v>
      </c>
      <c r="D32" s="4" t="s">
        <v>106</v>
      </c>
      <c r="E32" s="5">
        <v>1</v>
      </c>
      <c r="F32" s="6">
        <v>0.15</v>
      </c>
      <c r="G32" s="6">
        <f>E32*F32</f>
        <v>0.15</v>
      </c>
    </row>
    <row r="33" spans="1:7" x14ac:dyDescent="0.25">
      <c r="A33" s="4" t="s">
        <v>107</v>
      </c>
      <c r="B33" s="4" t="s">
        <v>108</v>
      </c>
      <c r="C33" s="4" t="s">
        <v>22</v>
      </c>
      <c r="D33" s="4" t="s">
        <v>109</v>
      </c>
      <c r="E33" s="5">
        <v>1</v>
      </c>
      <c r="F33" s="6">
        <v>0.3</v>
      </c>
      <c r="G33" s="6">
        <f>E33*F33</f>
        <v>0.3</v>
      </c>
    </row>
    <row r="34" spans="1:7" x14ac:dyDescent="0.25">
      <c r="A34" s="2" t="s">
        <v>110</v>
      </c>
      <c r="B34" s="2"/>
      <c r="C34" s="2"/>
      <c r="D34" s="2"/>
      <c r="E34" s="2"/>
      <c r="F34" s="2"/>
      <c r="G34" s="2"/>
    </row>
    <row r="35" spans="1:7" ht="26.25" x14ac:dyDescent="0.25">
      <c r="A35" s="4" t="s">
        <v>111</v>
      </c>
      <c r="B35" s="4" t="s">
        <v>112</v>
      </c>
      <c r="C35" s="4" t="s">
        <v>22</v>
      </c>
      <c r="D35" s="4" t="s">
        <v>113</v>
      </c>
      <c r="E35" s="5">
        <v>2</v>
      </c>
      <c r="F35" s="6">
        <v>0.3</v>
      </c>
      <c r="G35" s="6">
        <f>E35*F35</f>
        <v>0.6</v>
      </c>
    </row>
    <row r="36" spans="1:7" x14ac:dyDescent="0.25">
      <c r="A36" s="4" t="s">
        <v>114</v>
      </c>
      <c r="B36" s="4" t="s">
        <v>115</v>
      </c>
      <c r="C36" s="4" t="s">
        <v>22</v>
      </c>
      <c r="D36" s="4" t="s">
        <v>116</v>
      </c>
      <c r="E36" s="5">
        <v>1</v>
      </c>
      <c r="F36" s="6">
        <v>0.4</v>
      </c>
      <c r="G36" s="6">
        <f>E36*F36</f>
        <v>0.4</v>
      </c>
    </row>
    <row r="37" spans="1:7" x14ac:dyDescent="0.25">
      <c r="A37" s="4" t="s">
        <v>117</v>
      </c>
      <c r="B37" s="4" t="s">
        <v>118</v>
      </c>
      <c r="C37" s="4" t="s">
        <v>119</v>
      </c>
      <c r="D37" s="4" t="s">
        <v>120</v>
      </c>
      <c r="E37" s="5">
        <v>1</v>
      </c>
      <c r="F37" s="6">
        <v>0.1</v>
      </c>
      <c r="G37" s="6">
        <f>E37*F37</f>
        <v>0.1</v>
      </c>
    </row>
    <row r="38" spans="1:7" x14ac:dyDescent="0.25">
      <c r="A38" s="4" t="s">
        <v>121</v>
      </c>
      <c r="B38" s="4" t="s">
        <v>122</v>
      </c>
      <c r="C38" s="4" t="s">
        <v>123</v>
      </c>
      <c r="D38" s="4" t="s">
        <v>124</v>
      </c>
      <c r="E38" s="5">
        <v>1</v>
      </c>
      <c r="F38" s="6">
        <v>0.35</v>
      </c>
      <c r="G38" s="6">
        <f>E38*F38</f>
        <v>0.35</v>
      </c>
    </row>
    <row r="39" spans="1:7" x14ac:dyDescent="0.25">
      <c r="A39" s="2" t="s">
        <v>125</v>
      </c>
      <c r="B39" s="2"/>
      <c r="C39" s="2"/>
      <c r="D39" s="2"/>
      <c r="E39" s="2"/>
      <c r="F39" s="2"/>
      <c r="G39" s="2"/>
    </row>
    <row r="40" spans="1:7" ht="26.25" x14ac:dyDescent="0.25">
      <c r="A40" s="4" t="s">
        <v>126</v>
      </c>
      <c r="B40" s="4" t="s">
        <v>127</v>
      </c>
      <c r="C40" s="4" t="s">
        <v>128</v>
      </c>
      <c r="D40" s="4" t="s">
        <v>129</v>
      </c>
      <c r="E40" s="5">
        <v>1</v>
      </c>
      <c r="F40" s="6">
        <v>8</v>
      </c>
      <c r="G40" s="6">
        <f>E40*F40</f>
        <v>8</v>
      </c>
    </row>
    <row r="41" spans="1:7" x14ac:dyDescent="0.25">
      <c r="A41" s="4" t="s">
        <v>130</v>
      </c>
      <c r="B41" s="4" t="s">
        <v>131</v>
      </c>
      <c r="C41" s="4" t="s">
        <v>132</v>
      </c>
      <c r="D41" s="4" t="s">
        <v>133</v>
      </c>
      <c r="E41" s="5">
        <v>1</v>
      </c>
      <c r="F41" s="6">
        <v>6</v>
      </c>
      <c r="G41" s="6">
        <f>E41*F41</f>
        <v>6</v>
      </c>
    </row>
    <row r="42" spans="1:7" x14ac:dyDescent="0.25">
      <c r="A42" s="1" t="s">
        <v>134</v>
      </c>
      <c r="B42" s="1"/>
      <c r="C42" s="1"/>
      <c r="D42" s="1"/>
      <c r="E42" s="1"/>
      <c r="F42" s="1"/>
      <c r="G42" s="7">
        <f>SUM(G2:G41)</f>
        <v>103.43999999999998</v>
      </c>
    </row>
  </sheetData>
  <mergeCells count="10">
    <mergeCell ref="A25:G25"/>
    <mergeCell ref="A30:G30"/>
    <mergeCell ref="A34:G34"/>
    <mergeCell ref="A39:G39"/>
    <mergeCell ref="A42:F42"/>
    <mergeCell ref="A2:G2"/>
    <mergeCell ref="A8:G8"/>
    <mergeCell ref="A13:G13"/>
    <mergeCell ref="A18:G18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/>
  </sheetViews>
  <sheetFormatPr defaultColWidth="8.7109375" defaultRowHeight="15" x14ac:dyDescent="0.25"/>
  <cols>
    <col min="1" max="1" width="130" customWidth="1"/>
  </cols>
  <sheetData>
    <row r="1" spans="1:1" ht="15.75" x14ac:dyDescent="0.25">
      <c r="A1" s="8" t="s">
        <v>135</v>
      </c>
    </row>
    <row r="2" spans="1:1" x14ac:dyDescent="0.25">
      <c r="A2" s="9"/>
    </row>
    <row r="3" spans="1:1" ht="26.25" x14ac:dyDescent="0.25">
      <c r="A3" s="9" t="s">
        <v>136</v>
      </c>
    </row>
    <row r="4" spans="1:1" ht="26.25" x14ac:dyDescent="0.25">
      <c r="A4" s="9" t="s">
        <v>137</v>
      </c>
    </row>
    <row r="5" spans="1:1" ht="26.25" x14ac:dyDescent="0.25">
      <c r="A5" s="9" t="s">
        <v>138</v>
      </c>
    </row>
    <row r="6" spans="1:1" x14ac:dyDescent="0.25">
      <c r="A6" s="9" t="s">
        <v>139</v>
      </c>
    </row>
    <row r="7" spans="1:1" ht="26.25" x14ac:dyDescent="0.25">
      <c r="A7" s="9" t="s">
        <v>140</v>
      </c>
    </row>
    <row r="8" spans="1:1" x14ac:dyDescent="0.25">
      <c r="A8" s="9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 Nieves</cp:lastModifiedBy>
  <cp:revision>0</cp:revision>
  <dcterms:created xsi:type="dcterms:W3CDTF">2026-08-10T01:51:39Z</dcterms:created>
  <dcterms:modified xsi:type="dcterms:W3CDTF">2026-08-10T01:53:44Z</dcterms:modified>
  <dc:language>en-US</dc:language>
</cp:coreProperties>
</file>