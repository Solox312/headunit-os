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Notes &amp; Assump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<sst xmlns="http://schemas.openxmlformats.org/spreadsheetml/2006/main" count="162" uniqueCount="148">
  <si>
    <t xml:space="preserve">Ref Des / Block</t>
  </si>
  <si>
    <t xml:space="preserve">Component</t>
  </si>
  <si>
    <t xml:space="preserve">Part Number (example)</t>
  </si>
  <si>
    <t xml:space="preserve">Function</t>
  </si>
  <si>
    <t xml:space="preserve">Qty per Board</t>
  </si>
  <si>
    <t xml:space="preserve">Est. Unit Cost (100+ units, USD)</t>
  </si>
  <si>
    <t xml:space="preserve">Est. Line Cost (USD)</t>
  </si>
  <si>
    <t xml:space="preserve">Cost by Block</t>
  </si>
  <si>
    <t xml:space="preserve">Total Cost (USD)</t>
  </si>
  <si>
    <t xml:space="preserve">Power Input &amp; Protection</t>
  </si>
  <si>
    <t xml:space="preserve">U10</t>
  </si>
  <si>
    <t xml:space="preserve">USB-C PD sink/trigger controller, pin-select (no I2C/firmware)</t>
  </si>
  <si>
    <t xml:space="preserve">CH224K</t>
  </si>
  <si>
    <t xml:space="preserve">Negotiates a fixed 12V from the charger via a CFG resistor; replaces the 3-pin automotive harness + reverse-polarity MOSFET as the board's power source</t>
  </si>
  <si>
    <t xml:space="preserve">DC-DC Power Conversion</t>
  </si>
  <si>
    <t xml:space="preserve">R6</t>
  </si>
  <si>
    <t xml:space="preserve">CFG select resistor</t>
  </si>
  <si>
    <t xml:space="preserve">generic, value per CH224K CFG table</t>
  </si>
  <si>
    <t xml:space="preserve">Sets the requested PD voltage (12V) on U10's CFG pin -- confirm exact value against the chosen IC's datasheet</t>
  </si>
  <si>
    <t xml:space="preserve">VBUS-Loss Sense &amp; Safe Shutdown</t>
  </si>
  <si>
    <t xml:space="preserve">D1</t>
  </si>
  <si>
    <t xml:space="preserve">TVS diode, load dump clamp</t>
  </si>
  <si>
    <t xml:space="preserve">SMAJ26A</t>
  </si>
  <si>
    <t xml:space="preserve">Clamps transients on the post-negotiation 12V rail; 26V standoff keeps margin above the 20V USB-PD ceiling</t>
  </si>
  <si>
    <t xml:space="preserve">Compute (SoM)</t>
  </si>
  <si>
    <t xml:space="preserve">F1</t>
  </si>
  <si>
    <t xml:space="preserve">Resettable PTC fuse, 3A</t>
  </si>
  <si>
    <t xml:space="preserve">MF-MSMF300</t>
  </si>
  <si>
    <t xml:space="preserve">Overcurrent protection downstream of the PD sink IC</t>
  </si>
  <si>
    <t xml:space="preserve">Display Interface</t>
  </si>
  <si>
    <t xml:space="preserve">C1-C2</t>
  </si>
  <si>
    <t xml:space="preserve">Bulk input caps (470uF electrolytic + 0.1uF ceramic; C1 bumped from 100uF)</t>
  </si>
  <si>
    <t xml:space="preserve">generic</t>
  </si>
  <si>
    <t xml:space="preserve">Filters PD-negotiation transients; C1's larger value gives +12V_PROT a brief holdup window after VBUS loss so the SoM can begin clean shutdown before the rail collapses -- verify holdup time on the bench</t>
  </si>
  <si>
    <t xml:space="preserve">Audio Path</t>
  </si>
  <si>
    <t xml:space="preserve">J8</t>
  </si>
  <si>
    <t xml:space="preserve">USB-C connector, power (PD) + OTG/debug combo</t>
  </si>
  <si>
    <t xml:space="preserve">generic 6-pin (VBUS/GND/CC1/CC2/D+/D-)</t>
  </si>
  <si>
    <t xml:space="preserve">Sole power input in Rev B, still doubles as firmware-flash/serial-debug port; moved here from USB &amp; Debug since power is its primary role now</t>
  </si>
  <si>
    <t xml:space="preserve">FM Transmitter</t>
  </si>
  <si>
    <t xml:space="preserve">USB Host / Debug</t>
  </si>
  <si>
    <t xml:space="preserve">U1</t>
  </si>
  <si>
    <t xml:space="preserve">Synchronous buck converter, 12V-&gt;5V 3A, automotive</t>
  </si>
  <si>
    <t xml:space="preserve">LMR33630-Q1</t>
  </si>
  <si>
    <t xml:space="preserve">Main 5V rail for SoM + peripherals; 36V-rated input, now fed from the PD sink IC's negotiated output instead of the raw battery</t>
  </si>
  <si>
    <t xml:space="preserve">PCB &amp; Assembly</t>
  </si>
  <si>
    <t xml:space="preserve">U2</t>
  </si>
  <si>
    <t xml:space="preserve">Buck converter, 5V-&gt;3V3</t>
  </si>
  <si>
    <t xml:space="preserve">TPS62203DBVR</t>
  </si>
  <si>
    <t xml:space="preserve">3V3 rail for touch/FM/codec; synchronous buck only</t>
  </si>
  <si>
    <t xml:space="preserve">Total</t>
  </si>
  <si>
    <t xml:space="preserve">L1-L2</t>
  </si>
  <si>
    <t xml:space="preserve">Power inductors</t>
  </si>
  <si>
    <t xml:space="preserve">generic per U1/U2 datasheet</t>
  </si>
  <si>
    <t xml:space="preserve">Buck converter inductors</t>
  </si>
  <si>
    <t xml:space="preserve">U4</t>
  </si>
  <si>
    <t xml:space="preserve">Comparator</t>
  </si>
  <si>
    <t xml:space="preserve">TLV3201</t>
  </si>
  <si>
    <t xml:space="preserve">Converts the +12V_PROT divider to a clean logic GPIO signal that reads LOW when USB-C VBUS is lost (was: ACC-line ignition sense -- same comparator concept, different signal per the handoff's Rev B decision)</t>
  </si>
  <si>
    <t xml:space="preserve">R1-R2</t>
  </si>
  <si>
    <t xml:space="preserve">Sense divider resistors (100k/22k)</t>
  </si>
  <si>
    <t xml:space="preserve">generic 1%</t>
  </si>
  <si>
    <t xml:space="preserve">Divides the protected 12V rail (now tracks USB-C VBUS presence, not a separate ACC wire) to the comparator reference</t>
  </si>
  <si>
    <t xml:space="preserve">R3, C7</t>
  </si>
  <si>
    <t xml:space="preserve">RC debounce (10k / 10uF)</t>
  </si>
  <si>
    <t xml:space="preserve">Debounces brief VBUS dips / connector wiggle so a loose cable doesn't trigger a false shutdown; car-shutdown.service already adds a 3s software hold-off -- retune against real USB-C connector behavior</t>
  </si>
  <si>
    <t xml:space="preserve">U5</t>
  </si>
  <si>
    <t xml:space="preserve">Load switch, GPIO controlled, 4A</t>
  </si>
  <si>
    <t xml:space="preserve">TPS22965</t>
  </si>
  <si>
    <t xml:space="preserve">Cuts 5V rail after clean OS halt; sized for SoM+display+USB load 1.5-3A</t>
  </si>
  <si>
    <t xml:space="preserve">SOM1</t>
  </si>
  <si>
    <t xml:space="preserve">200-pin SODIMM socket</t>
  </si>
  <si>
    <t xml:space="preserve">generic DDR2 SODIMM socket</t>
  </si>
  <si>
    <t xml:space="preserve">Accepts RK3566/RK3568 SoM</t>
  </si>
  <si>
    <t xml:space="preserve">SOM-MOD</t>
  </si>
  <si>
    <t xml:space="preserve">System-on-Module, RK3566/RK3568</t>
  </si>
  <si>
    <t xml:space="preserve">Radxa CM3S (4-8GB LPDDR4 / 32-128GB eMMC)</t>
  </si>
  <si>
    <t xml:space="preserve">Main compute: CPU, DDR, eMMC, WiFi/BT</t>
  </si>
  <si>
    <t xml:space="preserve">J2</t>
  </si>
  <si>
    <t xml:space="preserve">40-pin 0.5mm FPC connector</t>
  </si>
  <si>
    <t xml:space="preserve">generic FPC</t>
  </si>
  <si>
    <t xml:space="preserve">MIPI-DSI + I2C touch + backlight to panel ribbon</t>
  </si>
  <si>
    <t xml:space="preserve">PANEL1</t>
  </si>
  <si>
    <t xml:space="preserve">10.1" IPS capacitive touch panel, 800x1280, 4-lane MIPI-DSI</t>
  </si>
  <si>
    <t xml:space="preserve">Waveshare 10.1-DSI-TOUCH-A class</t>
  </si>
  <si>
    <t xml:space="preserve">Main display + touch (GT911 touch IC on panel)</t>
  </si>
  <si>
    <t xml:space="preserve">U6</t>
  </si>
  <si>
    <t xml:space="preserve">Backlight boost LED driver, PWM dimmable</t>
  </si>
  <si>
    <t xml:space="preserve">TPS61165</t>
  </si>
  <si>
    <t xml:space="preserve">Drives panel backlight, PWM from SoM</t>
  </si>
  <si>
    <t xml:space="preserve">U9</t>
  </si>
  <si>
    <t xml:space="preserve">Ambient light sensor, I2C (auto-brightness for backlight control)</t>
  </si>
  <si>
    <t xml:space="preserve">VEML7700-TR</t>
  </si>
  <si>
    <t xml:space="preserve">Feeds SoM via I2C0 (shared bus w/ FM chip + touch ctrl); driver adjusts PWM_BL by cabin light level</t>
  </si>
  <si>
    <t xml:space="preserve">U7</t>
  </si>
  <si>
    <t xml:space="preserve">Stereo audio codec, I2S</t>
  </si>
  <si>
    <t xml:space="preserve">WM8960 or ES8388</t>
  </si>
  <si>
    <t xml:space="preserve">Onboard DAC/ADC, replaces USB DAC dongle</t>
  </si>
  <si>
    <t xml:space="preserve">T1-T2</t>
  </si>
  <si>
    <t xml:space="preserve">Audio isolation transformer, 1:1 stereo pair</t>
  </si>
  <si>
    <t xml:space="preserve">Bourns LM-1547 class</t>
  </si>
  <si>
    <t xml:space="preserve">Galvanic ground isolation for AUX out (kills alternator whine)</t>
  </si>
  <si>
    <t xml:space="preserve">J3</t>
  </si>
  <si>
    <t xml:space="preserve">3.5mm TRS AUX jack</t>
  </si>
  <si>
    <t xml:space="preserve">Audio output to car AUX</t>
  </si>
  <si>
    <t xml:space="preserve">J4</t>
  </si>
  <si>
    <t xml:space="preserve">3.5mm mic jack / electret footprint</t>
  </si>
  <si>
    <t xml:space="preserve">Mic input for voice commands</t>
  </si>
  <si>
    <t xml:space="preserve">U8</t>
  </si>
  <si>
    <t xml:space="preserve">FM transmitter with RDS, I2C</t>
  </si>
  <si>
    <t xml:space="preserve">Si4713-B30-GM</t>
  </si>
  <si>
    <t xml:space="preserve">Broadcasts audio to car radio (88-108MHz)</t>
  </si>
  <si>
    <t xml:space="preserve">Y1</t>
  </si>
  <si>
    <t xml:space="preserve">32.768kHz crystal</t>
  </si>
  <si>
    <t xml:space="preserve">generic per Si4713 datasheet</t>
  </si>
  <si>
    <t xml:space="preserve">Si4713 reference clock</t>
  </si>
  <si>
    <t xml:space="preserve">J5</t>
  </si>
  <si>
    <t xml:space="preserve">SMA or U.FL antenna connector</t>
  </si>
  <si>
    <t xml:space="preserve">FM antenna connection</t>
  </si>
  <si>
    <t xml:space="preserve">J6-J7</t>
  </si>
  <si>
    <t xml:space="preserve">USB 2.0 Type-A connector</t>
  </si>
  <si>
    <t xml:space="preserve">Mic (if not using onboard) / wireless AA-CarPlay dongle</t>
  </si>
  <si>
    <t xml:space="preserve">J9</t>
  </si>
  <si>
    <t xml:space="preserve">4-pin UART debug header</t>
  </si>
  <si>
    <t xml:space="preserve">generic 0.1" header</t>
  </si>
  <si>
    <t xml:space="preserve">Console access</t>
  </si>
  <si>
    <t xml:space="preserve">SD1</t>
  </si>
  <si>
    <t xml:space="preserve">microSD slot</t>
  </si>
  <si>
    <t xml:space="preserve">generic push-push</t>
  </si>
  <si>
    <t xml:space="preserve">A/B image flashing, field recovery</t>
  </si>
  <si>
    <t xml:space="preserve">PCB</t>
  </si>
  <si>
    <t xml:space="preserve">6-layer carrier PCB, controlled impedance</t>
  </si>
  <si>
    <t xml:space="preserve">custom fab (JLCPCB/PCBWay class)</t>
  </si>
  <si>
    <t xml:space="preserve">Base board, DSI diff-pair + DDR-adjacent routing</t>
  </si>
  <si>
    <t xml:space="preserve">ASSY</t>
  </si>
  <si>
    <t xml:space="preserve">SMT assembly + testing</t>
  </si>
  <si>
    <t xml:space="preserve">contract assembler</t>
  </si>
  <si>
    <t xml:space="preserve">Per-unit assembly labor at 100+ qty</t>
  </si>
  <si>
    <t xml:space="preserve">ESTIMATED TOTAL BOM COST PER UNIT</t>
  </si>
  <si>
    <t xml:space="preserve">Notes &amp; Assumptions</t>
  </si>
  <si>
    <t xml:space="preserve">1. Unit costs are rough component-level estimates at 100+ unit volume pricing, based on typical distributor pricing for comparable parts as of Aug 2026. Get formal quotes from Digi-Key/Mouser/LCSC and the SoM vendor before finalizing a BOM for production.</t>
  </si>
  <si>
    <t xml:space="preserve">2. SoM cost (Radxa CM3S, ~$35) varies significantly by RAM/eMMC configuration selected (4GB/32GB vs 8GB/128GB) and order volume — confirm with Radxa or your chosen SoM vendor directly.</t>
  </si>
  <si>
    <t xml:space="preserve">3. Display panel cost (~$38) is for a hobbyist/prototype-quantity panel (Waveshare-class). At mass-production volume, sourcing the same panel spec directly from an LCD OEM/vendor in China will likely be substantially cheaper — get a factory quote.</t>
  </si>
  <si>
    <t xml:space="preserve">4. PCB and assembly costs assume a 6-layer board at 100+ unit prototype-to-low-volume pricing; costs drop further at higher volumes (1000+ units).</t>
  </si>
  <si>
    <t xml:space="preserve">5. This BOM excludes enclosure/mounting hardware, cabling/harness beyond the USB-C power cable, and any certification costs (FCC/CE for the FM transmitter and wireless SoM radios are required for a commercial product).</t>
  </si>
  <si>
    <t xml:space="preserve">6. Reference: see docs/pcb_carrier_board_design.md for the full schematic-level block descriptions this BOM corresponds to.</t>
  </si>
  <si>
    <t xml:space="preserve">7. Electrical review (Aug 2026) flagged U3 (TPS7A02, 6V max) wired directly to the 12V battery rail and U5 (AP2331, ~0.2A) undersized for the SoM/display/USB load it switches -- both corrected in this BOM to automotive-rated, adequately-sized parts (TPS7A16-Q1, TPS22965), along with a higher-margin TVS (D1, SMAJ26A vs 15A), a wider-input main buck (U1, LMR33630-Q1), dropping the AMS1117 linear option for U2, and a larger debounce cap (C7, 10uF). Verify replacement part footprints/pinouts against real datasheets before fab -- this project uses generic placeholder footprints throughout, swapped for exact vendor footprints at that stage regardless.</t>
  </si>
  <si>
    <t xml:space="preserve">8. Rev B (Aug 2026): power input changed from a 3-pin automotive harness (BATT/ACC/GND) to USB-C Power Delivery, for a portable, no-dash-mount build powered from a 12V-accessory-socket USB-C PD charger. Removed: J1 (3-pin harness), Q1 (reverse-polarity MOSFET -- USB-C's keyed connector makes it unnecessary), U3 (standby LDO -- no separate always-on battery line exists anymore). Added: U10 (CH224K-class PD sink IC) + R6 (CFG select resistor). J8 (USB-C, was debug-only) now also carries power delivery. The ACC-line ignition-sense comparator (U4) is repurposed, unchanged in concept, to sense USB-C VBUS loss instead and trigger the same safe-shutdown GPIO -- see the handoff doc's Rev B section for the option that was chosen (drop the ACC line entirely, shut down on VBUS loss) and why. C1 bumped 100uF-&gt;470uF for holdup time after VBUS loss; exact holdup time is an estimate, not a calculated or bench-verified value -- verify before treating this as final.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</si>
</sst>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1F3864"/>
      </patternFill>
    </fill>
    <fill>
      <patternFill patternType="solid">
        <fgColor rgb="FF1F3864"/>
        <bgColor rgb="FF1F2937"/>
      </patternFill>
    </fill>
    <fill>
      <patternFill patternType="solid">
        <fgColor rgb="FFDBEAFE"/>
        <bgColor rgb="FFD9D9D9"/>
      </patternFill>
    </fill>
    <fill>
      <patternFill patternType="solid">
        <fgColor rgb="FFFEF3C7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3A9CE"/>
      <rgbColor rgb="FFAB4744"/>
      <rgbColor rgb="FFFEF3C7"/>
      <rgbColor rgb="FFDBEAFE"/>
      <rgbColor rgb="FF660066"/>
      <rgbColor rgb="FFDC853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B3B3B3"/>
      <rgbColor rgb="FFD09493"/>
      <rgbColor rgb="FFCC99FF"/>
      <rgbColor rgb="FFB8CD97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Carrier Board BOM Cost Breakdown by Block ($/unit, 100+ qty)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BOM!$J$1</c:f>
              <c:strCache>
                <c:ptCount val="1"/>
                <c:pt idx="0">
                  <c:v>Total Cost (USD)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1260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12600">
                <a:noFill/>
              </a:ln>
            </c:spPr>
          </c:dPt>
          <c:dLbls>
            <c:numFmt formatCode="\$#,##0.00" sourceLinked="1"/>
            <c:dLbl>
              <c:idx val="0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numFmt formatCode="\$#,##0.0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BOM!$I$2:$I$10</c:f>
              <c:strCache>
                <c:ptCount val="9"/>
                <c:pt idx="0">
                  <c:v>Power Input &amp; Protection</c:v>
                </c:pt>
                <c:pt idx="1">
                  <c:v>DC-DC Power Conversion</c:v>
                </c:pt>
                <c:pt idx="2">
                  <c:v>VBUS-Loss Sense &amp; Safe Shutdown</c:v>
                </c:pt>
                <c:pt idx="3">
                  <c:v>Compute (SoM)</c:v>
                </c:pt>
                <c:pt idx="4">
                  <c:v>Display Interface</c:v>
                </c:pt>
                <c:pt idx="5">
                  <c:v>Audio Path</c:v>
                </c:pt>
                <c:pt idx="6">
                  <c:v>FM Transmitter</c:v>
                </c:pt>
                <c:pt idx="7">
                  <c:v>USB Host / Debug</c:v>
                </c:pt>
                <c:pt idx="8">
                  <c:v>PCB &amp; Assembly</c:v>
                </c:pt>
              </c:strCache>
            </c:strRef>
          </c:cat>
          <c:val>
            <c:numRef>
              <c:f>BOM!$J$2:$J$10</c:f>
              <c:numCache>
                <c:formatCode>\$#,##0.00</c:formatCode>
                <c:ptCount val="9"/>
                <c:pt idx="0">
                  <c:v>2.17</c:v>
                </c:pt>
                <c:pt idx="1">
                  <c:v>3.5</c:v>
                </c:pt>
                <c:pt idx="2">
                  <c:v>0.99</c:v>
                </c:pt>
                <c:pt idx="3">
                  <c:v>36.2</c:v>
                </c:pt>
                <c:pt idx="4">
                  <c:v>39.65</c:v>
                </c:pt>
                <c:pt idx="5">
                  <c:v>3.15</c:v>
                </c:pt>
                <c:pt idx="6">
                  <c:v>2.95</c:v>
                </c:pt>
                <c:pt idx="7">
                  <c:v>1.05</c:v>
                </c:pt>
                <c:pt idx="8">
                  <c:v>14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Carrier Board BOM Cost by Block ($/unit)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BOM!$J$1</c:f>
              <c:strCache>
                <c:ptCount val="1"/>
                <c:pt idx="0">
                  <c:v>Total Cost (USD)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BOM!$I$2:$I$10</c:f>
              <c:strCache>
                <c:ptCount val="9"/>
                <c:pt idx="0">
                  <c:v>Power Input &amp; Protection</c:v>
                </c:pt>
                <c:pt idx="1">
                  <c:v>DC-DC Power Conversion</c:v>
                </c:pt>
                <c:pt idx="2">
                  <c:v>VBUS-Loss Sense &amp; Safe Shutdown</c:v>
                </c:pt>
                <c:pt idx="3">
                  <c:v>Compute (SoM)</c:v>
                </c:pt>
                <c:pt idx="4">
                  <c:v>Display Interface</c:v>
                </c:pt>
                <c:pt idx="5">
                  <c:v>Audio Path</c:v>
                </c:pt>
                <c:pt idx="6">
                  <c:v>FM Transmitter</c:v>
                </c:pt>
                <c:pt idx="7">
                  <c:v>USB Host / Debug</c:v>
                </c:pt>
                <c:pt idx="8">
                  <c:v>PCB &amp; Assembly</c:v>
                </c:pt>
              </c:strCache>
            </c:strRef>
          </c:cat>
          <c:val>
            <c:numRef>
              <c:f>BOM!$J$2:$J$10</c:f>
              <c:numCache>
                <c:formatCode>\$#,##0.00</c:formatCode>
                <c:ptCount val="9"/>
                <c:pt idx="0">
                  <c:v>2.17</c:v>
                </c:pt>
                <c:pt idx="1">
                  <c:v>3.5</c:v>
                </c:pt>
                <c:pt idx="2">
                  <c:v>0.99</c:v>
                </c:pt>
                <c:pt idx="3">
                  <c:v>36.2</c:v>
                </c:pt>
                <c:pt idx="4">
                  <c:v>39.65</c:v>
                </c:pt>
                <c:pt idx="5">
                  <c:v>3.15</c:v>
                </c:pt>
                <c:pt idx="6">
                  <c:v>2.95</c:v>
                </c:pt>
                <c:pt idx="7">
                  <c:v>1.05</c:v>
                </c:pt>
                <c:pt idx="8">
                  <c:v>14</c:v>
                </c:pt>
              </c:numCache>
            </c:numRef>
          </c:val>
        </c:ser>
        <c:gapWidth val="150"/>
        <c:overlap val="0"/>
        <c:axId val="29216269"/>
        <c:axId val="96031732"/>
      </c:barChart>
      <c:catAx>
        <c:axId val="292162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Block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31732"/>
        <c:crosses val="autoZero"/>
        <c:auto val="1"/>
        <c:lblAlgn val="ctr"/>
        <c:lblOffset val="100"/>
        <c:noMultiLvlLbl val="0"/>
      </c:catAx>
      <c:valAx>
        <c:axId val="9603173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2162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12</xdr:row>
      <xdr:rowOff>0</xdr:rowOff>
    </xdr:from>
    <xdr:to>
      <xdr:col>13</xdr:col>
      <xdr:colOff>532440</xdr:colOff>
      <xdr:row>27</xdr:row>
      <xdr:rowOff>168840</xdr:rowOff>
    </xdr:to>
    <xdr:graphicFrame>
      <xdr:nvGraphicFramePr>
        <xdr:cNvPr id="0" name="Chart 1"/>
        <xdr:cNvGraphicFramePr/>
      </xdr:nvGraphicFramePr>
      <xdr:xfrm>
        <a:off x="13019400" y="2705040"/>
        <a:ext cx="5757840" cy="359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33</xdr:row>
      <xdr:rowOff>0</xdr:rowOff>
    </xdr:from>
    <xdr:to>
      <xdr:col>13</xdr:col>
      <xdr:colOff>532440</xdr:colOff>
      <xdr:row>50</xdr:row>
      <xdr:rowOff>73440</xdr:rowOff>
    </xdr:to>
    <xdr:graphicFrame>
      <xdr:nvGraphicFramePr>
        <xdr:cNvPr id="1" name="Chart 2"/>
        <xdr:cNvGraphicFramePr/>
      </xdr:nvGraphicFramePr>
      <xdr:xfrm>
        <a:off x="13019400" y="7277040"/>
        <a:ext cx="5757840" cy="359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46"/>
    <col collapsed="false" customWidth="true" hidden="false" outlineLevel="0" max="5" min="5" style="1" width="14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9" min="9" style="1" width="32"/>
    <col collapsed="false" customWidth="true" hidden="false" outlineLevel="0" max="10" min="10" style="1" width="1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3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  <c r="I2" s="5" t="s">
        <v>9</v>
      </c>
      <c r="J2" s="6" t="n">
        <f aca="false">SUM(G3:G8)</f>
        <v>2.17</v>
      </c>
    </row>
    <row r="3" customFormat="false" ht="15" hidden="false" customHeight="true" outlineLevel="0" collapsed="false">
      <c r="A3" s="7" t="s">
        <v>10</v>
      </c>
      <c r="B3" s="7" t="s">
        <v>11</v>
      </c>
      <c r="C3" s="7" t="s">
        <v>12</v>
      </c>
      <c r="D3" s="7" t="s">
        <v>13</v>
      </c>
      <c r="E3" s="8" t="n">
        <v>1</v>
      </c>
      <c r="F3" s="9" t="n">
        <v>0.35</v>
      </c>
      <c r="G3" s="9" t="n">
        <f aca="false">E3*F3</f>
        <v>0.35</v>
      </c>
      <c r="I3" s="5" t="s">
        <v>14</v>
      </c>
      <c r="J3" s="6" t="n">
        <f aca="false">SUM(G10:G12)</f>
        <v>3.5</v>
      </c>
    </row>
    <row r="4" customFormat="false" ht="15" hidden="false" customHeight="true" outlineLevel="0" collapsed="false">
      <c r="A4" s="7" t="s">
        <v>15</v>
      </c>
      <c r="B4" s="7" t="s">
        <v>16</v>
      </c>
      <c r="C4" s="7" t="s">
        <v>17</v>
      </c>
      <c r="D4" s="7" t="s">
        <v>18</v>
      </c>
      <c r="E4" s="8" t="n">
        <v>1</v>
      </c>
      <c r="F4" s="9" t="n">
        <v>0.02</v>
      </c>
      <c r="G4" s="9" t="n">
        <f aca="false">E4*F4</f>
        <v>0.02</v>
      </c>
      <c r="I4" s="5" t="s">
        <v>19</v>
      </c>
      <c r="J4" s="6" t="n">
        <f aca="false">SUM(G14:G17)</f>
        <v>0.99</v>
      </c>
    </row>
    <row r="5" customFormat="false" ht="15" hidden="false" customHeight="true" outlineLevel="0" collapsed="false">
      <c r="A5" s="7" t="s">
        <v>20</v>
      </c>
      <c r="B5" s="7" t="s">
        <v>21</v>
      </c>
      <c r="C5" s="7" t="s">
        <v>22</v>
      </c>
      <c r="D5" s="7" t="s">
        <v>23</v>
      </c>
      <c r="E5" s="8" t="n">
        <v>1</v>
      </c>
      <c r="F5" s="9" t="n">
        <v>0.15</v>
      </c>
      <c r="G5" s="9" t="n">
        <f aca="false">E5*F5</f>
        <v>0.15</v>
      </c>
      <c r="I5" s="5" t="s">
        <v>24</v>
      </c>
      <c r="J5" s="6" t="n">
        <f aca="false">SUM(G19:G20)</f>
        <v>36.2</v>
      </c>
    </row>
    <row r="6" customFormat="false" ht="26.25" hidden="false" customHeight="true" outlineLevel="0" collapsed="false">
      <c r="A6" s="7" t="s">
        <v>25</v>
      </c>
      <c r="B6" s="7" t="s">
        <v>26</v>
      </c>
      <c r="C6" s="7" t="s">
        <v>27</v>
      </c>
      <c r="D6" s="7" t="s">
        <v>28</v>
      </c>
      <c r="E6" s="8" t="n">
        <v>1</v>
      </c>
      <c r="F6" s="9" t="n">
        <v>0.2</v>
      </c>
      <c r="G6" s="9" t="n">
        <f aca="false">E6*F6</f>
        <v>0.2</v>
      </c>
      <c r="I6" s="5" t="s">
        <v>29</v>
      </c>
      <c r="J6" s="6" t="n">
        <f aca="false">SUM(G22:G25)</f>
        <v>39.65</v>
      </c>
    </row>
    <row r="7" customFormat="false" ht="15" hidden="false" customHeight="true" outlineLevel="0" collapsed="false">
      <c r="A7" s="7" t="s">
        <v>30</v>
      </c>
      <c r="B7" s="7" t="s">
        <v>31</v>
      </c>
      <c r="C7" s="7" t="s">
        <v>32</v>
      </c>
      <c r="D7" s="7" t="s">
        <v>33</v>
      </c>
      <c r="E7" s="8" t="n">
        <v>2</v>
      </c>
      <c r="F7" s="9" t="n">
        <v>0.45</v>
      </c>
      <c r="G7" s="9" t="n">
        <f aca="false">E7*F7</f>
        <v>0.9</v>
      </c>
      <c r="I7" s="5" t="s">
        <v>34</v>
      </c>
      <c r="J7" s="6" t="n">
        <f aca="false">SUM(G27:G30)</f>
        <v>3.15</v>
      </c>
    </row>
    <row r="8" customFormat="false" ht="15" hidden="false" customHeight="true" outlineLevel="0" collapsed="false">
      <c r="A8" s="7" t="s">
        <v>35</v>
      </c>
      <c r="B8" s="7" t="s">
        <v>36</v>
      </c>
      <c r="C8" s="7" t="s">
        <v>37</v>
      </c>
      <c r="D8" s="7" t="s">
        <v>38</v>
      </c>
      <c r="E8" s="8" t="n">
        <v>1</v>
      </c>
      <c r="F8" s="9" t="n">
        <v>0.55</v>
      </c>
      <c r="G8" s="9" t="n">
        <f aca="false">E8*F8</f>
        <v>0.55</v>
      </c>
      <c r="I8" s="5" t="s">
        <v>39</v>
      </c>
      <c r="J8" s="6" t="n">
        <f aca="false">SUM(G32:G34)</f>
        <v>2.95</v>
      </c>
    </row>
    <row r="9" customFormat="false" ht="26.25" hidden="false" customHeight="true" outlineLevel="0" collapsed="false">
      <c r="A9" s="4" t="s">
        <v>14</v>
      </c>
      <c r="B9" s="4"/>
      <c r="C9" s="4"/>
      <c r="D9" s="4"/>
      <c r="E9" s="4"/>
      <c r="F9" s="4"/>
      <c r="G9" s="4"/>
      <c r="I9" s="5" t="s">
        <v>40</v>
      </c>
      <c r="J9" s="6" t="n">
        <f aca="false">SUM(G36:G38)</f>
        <v>1.05</v>
      </c>
    </row>
    <row r="10" customFormat="false" ht="15" hidden="false" customHeight="true" outlineLevel="0" collapsed="false">
      <c r="A10" s="7" t="s">
        <v>41</v>
      </c>
      <c r="B10" s="7" t="s">
        <v>42</v>
      </c>
      <c r="C10" s="7" t="s">
        <v>43</v>
      </c>
      <c r="D10" s="7" t="s">
        <v>44</v>
      </c>
      <c r="E10" s="8" t="n">
        <v>1</v>
      </c>
      <c r="F10" s="9" t="n">
        <v>2.1</v>
      </c>
      <c r="G10" s="9" t="n">
        <f aca="false">E10*F10</f>
        <v>2.1</v>
      </c>
      <c r="I10" s="5" t="s">
        <v>45</v>
      </c>
      <c r="J10" s="6" t="n">
        <f aca="false">SUM(G40:G41)</f>
        <v>14</v>
      </c>
    </row>
    <row r="11" customFormat="false" ht="15" hidden="false" customHeight="true" outlineLevel="0" collapsed="false">
      <c r="A11" s="7" t="s">
        <v>46</v>
      </c>
      <c r="B11" s="7" t="s">
        <v>47</v>
      </c>
      <c r="C11" s="7" t="s">
        <v>48</v>
      </c>
      <c r="D11" s="7" t="s">
        <v>49</v>
      </c>
      <c r="E11" s="8" t="n">
        <v>1</v>
      </c>
      <c r="F11" s="9" t="n">
        <v>0.6</v>
      </c>
      <c r="G11" s="9" t="n">
        <f aca="false">E11*F11</f>
        <v>0.6</v>
      </c>
      <c r="I11" s="5" t="s">
        <v>50</v>
      </c>
      <c r="J11" s="6" t="n">
        <f aca="false">SUM(J2:J10)</f>
        <v>103.66</v>
      </c>
    </row>
    <row r="12" customFormat="false" ht="15" hidden="false" customHeight="true" outlineLevel="0" collapsed="false">
      <c r="A12" s="7" t="s">
        <v>51</v>
      </c>
      <c r="B12" s="7" t="s">
        <v>52</v>
      </c>
      <c r="C12" s="7" t="s">
        <v>53</v>
      </c>
      <c r="D12" s="7" t="s">
        <v>54</v>
      </c>
      <c r="E12" s="8" t="n">
        <v>2</v>
      </c>
      <c r="F12" s="9" t="n">
        <v>0.4</v>
      </c>
      <c r="G12" s="9" t="n">
        <f aca="false">E12*F12</f>
        <v>0.8</v>
      </c>
      <c r="I12" s="5"/>
      <c r="J12" s="6"/>
    </row>
    <row r="13" customFormat="false" ht="15" hidden="false" customHeight="true" outlineLevel="0" collapsed="false">
      <c r="A13" s="4" t="s">
        <v>19</v>
      </c>
      <c r="B13" s="4"/>
      <c r="C13" s="4"/>
      <c r="D13" s="4"/>
      <c r="E13" s="4"/>
      <c r="F13" s="4"/>
      <c r="G13" s="4"/>
      <c r="I13" s="5"/>
      <c r="J13" s="6"/>
    </row>
    <row r="14" customFormat="false" ht="15" hidden="false" customHeight="true" outlineLevel="0" collapsed="false">
      <c r="A14" s="7" t="s">
        <v>55</v>
      </c>
      <c r="B14" s="7" t="s">
        <v>56</v>
      </c>
      <c r="C14" s="7" t="s">
        <v>57</v>
      </c>
      <c r="D14" s="7" t="s">
        <v>58</v>
      </c>
      <c r="E14" s="8" t="n">
        <v>1</v>
      </c>
      <c r="F14" s="9" t="n">
        <v>0.4</v>
      </c>
      <c r="G14" s="9" t="n">
        <f aca="false">E14*F14</f>
        <v>0.4</v>
      </c>
      <c r="I14" s="5"/>
      <c r="J14" s="6"/>
    </row>
    <row r="15" customFormat="false" ht="15" hidden="false" customHeight="true" outlineLevel="0" collapsed="false">
      <c r="A15" s="7" t="s">
        <v>59</v>
      </c>
      <c r="B15" s="7" t="s">
        <v>60</v>
      </c>
      <c r="C15" s="7" t="s">
        <v>61</v>
      </c>
      <c r="D15" s="7" t="s">
        <v>62</v>
      </c>
      <c r="E15" s="8" t="n">
        <v>2</v>
      </c>
      <c r="F15" s="9" t="n">
        <v>0.02</v>
      </c>
      <c r="G15" s="9" t="n">
        <f aca="false">E15*F15</f>
        <v>0.04</v>
      </c>
      <c r="I15" s="5"/>
      <c r="J15" s="6"/>
    </row>
    <row r="16" customFormat="false" ht="15" hidden="false" customHeight="true" outlineLevel="0" collapsed="false">
      <c r="A16" s="7" t="s">
        <v>63</v>
      </c>
      <c r="B16" s="7" t="s">
        <v>64</v>
      </c>
      <c r="C16" s="7" t="s">
        <v>32</v>
      </c>
      <c r="D16" s="7" t="s">
        <v>65</v>
      </c>
      <c r="E16" s="8" t="n">
        <v>2</v>
      </c>
      <c r="F16" s="9" t="n">
        <v>0.05</v>
      </c>
      <c r="G16" s="9" t="n">
        <f aca="false">E16*F16</f>
        <v>0.1</v>
      </c>
      <c r="I16" s="5"/>
      <c r="J16" s="6"/>
    </row>
    <row r="17" customFormat="false" ht="15" hidden="false" customHeight="true" outlineLevel="0" collapsed="false">
      <c r="A17" s="7" t="s">
        <v>66</v>
      </c>
      <c r="B17" s="7" t="s">
        <v>67</v>
      </c>
      <c r="C17" s="7" t="s">
        <v>68</v>
      </c>
      <c r="D17" s="7" t="s">
        <v>69</v>
      </c>
      <c r="E17" s="8" t="n">
        <v>1</v>
      </c>
      <c r="F17" s="9" t="n">
        <v>0.45</v>
      </c>
      <c r="G17" s="9" t="n">
        <f aca="false">E17*F17</f>
        <v>0.45</v>
      </c>
      <c r="I17" s="5"/>
      <c r="J17" s="6"/>
    </row>
    <row r="18" customFormat="false" ht="15" hidden="false" customHeight="true" outlineLevel="0" collapsed="false">
      <c r="A18" s="4" t="s">
        <v>24</v>
      </c>
      <c r="B18" s="4"/>
      <c r="C18" s="4"/>
      <c r="D18" s="4"/>
      <c r="E18" s="4"/>
      <c r="F18" s="4"/>
      <c r="G18" s="4"/>
      <c r="I18" s="5"/>
      <c r="J18" s="6"/>
    </row>
    <row r="19" customFormat="false" ht="15" hidden="false" customHeight="true" outlineLevel="0" collapsed="false">
      <c r="A19" s="7" t="s">
        <v>70</v>
      </c>
      <c r="B19" s="7" t="s">
        <v>71</v>
      </c>
      <c r="C19" s="7" t="s">
        <v>72</v>
      </c>
      <c r="D19" s="7" t="s">
        <v>73</v>
      </c>
      <c r="E19" s="8" t="n">
        <v>1</v>
      </c>
      <c r="F19" s="9" t="n">
        <v>1.2</v>
      </c>
      <c r="G19" s="9" t="n">
        <f aca="false">E19*F19</f>
        <v>1.2</v>
      </c>
      <c r="I19" s="5"/>
      <c r="J19" s="6"/>
    </row>
    <row r="20" customFormat="false" ht="26.25" hidden="false" customHeight="true" outlineLevel="0" collapsed="false">
      <c r="A20" s="7" t="s">
        <v>74</v>
      </c>
      <c r="B20" s="7" t="s">
        <v>75</v>
      </c>
      <c r="C20" s="7" t="s">
        <v>76</v>
      </c>
      <c r="D20" s="7" t="s">
        <v>77</v>
      </c>
      <c r="E20" s="8" t="n">
        <v>1</v>
      </c>
      <c r="F20" s="9" t="n">
        <v>35</v>
      </c>
      <c r="G20" s="9" t="n">
        <f aca="false">E20*F20</f>
        <v>35</v>
      </c>
      <c r="I20" s="5"/>
      <c r="J20" s="6"/>
    </row>
    <row r="21" customFormat="false" ht="15" hidden="false" customHeight="true" outlineLevel="0" collapsed="false">
      <c r="A21" s="4" t="s">
        <v>29</v>
      </c>
      <c r="B21" s="4"/>
      <c r="C21" s="4"/>
      <c r="D21" s="4"/>
      <c r="E21" s="4"/>
      <c r="F21" s="4"/>
      <c r="G21" s="4"/>
      <c r="I21" s="5"/>
      <c r="J21" s="6"/>
    </row>
    <row r="22" customFormat="false" ht="15" hidden="false" customHeight="true" outlineLevel="0" collapsed="false">
      <c r="A22" s="7" t="s">
        <v>78</v>
      </c>
      <c r="B22" s="7" t="s">
        <v>79</v>
      </c>
      <c r="C22" s="7" t="s">
        <v>80</v>
      </c>
      <c r="D22" s="7" t="s">
        <v>81</v>
      </c>
      <c r="E22" s="8" t="n">
        <v>1</v>
      </c>
      <c r="F22" s="9" t="n">
        <v>0.5</v>
      </c>
      <c r="G22" s="9" t="n">
        <f aca="false">E22*F22</f>
        <v>0.5</v>
      </c>
      <c r="I22" s="5"/>
      <c r="J22" s="6"/>
    </row>
    <row r="23" customFormat="false" ht="26.25" hidden="false" customHeight="true" outlineLevel="0" collapsed="false">
      <c r="A23" s="7" t="s">
        <v>82</v>
      </c>
      <c r="B23" s="7" t="s">
        <v>83</v>
      </c>
      <c r="C23" s="7" t="s">
        <v>84</v>
      </c>
      <c r="D23" s="7" t="s">
        <v>85</v>
      </c>
      <c r="E23" s="8" t="n">
        <v>1</v>
      </c>
      <c r="F23" s="9" t="n">
        <v>38</v>
      </c>
      <c r="G23" s="9" t="n">
        <f aca="false">E23*F23</f>
        <v>38</v>
      </c>
      <c r="I23" s="5"/>
      <c r="J23" s="6"/>
    </row>
    <row r="24" customFormat="false" ht="26.25" hidden="false" customHeight="true" outlineLevel="0" collapsed="false">
      <c r="A24" s="7" t="s">
        <v>86</v>
      </c>
      <c r="B24" s="7" t="s">
        <v>87</v>
      </c>
      <c r="C24" s="7" t="s">
        <v>88</v>
      </c>
      <c r="D24" s="7" t="s">
        <v>89</v>
      </c>
      <c r="E24" s="8" t="n">
        <v>1</v>
      </c>
      <c r="F24" s="9" t="n">
        <v>0.55</v>
      </c>
      <c r="G24" s="9" t="n">
        <f aca="false">E24*F24</f>
        <v>0.55</v>
      </c>
      <c r="I24" s="5"/>
      <c r="J24" s="6"/>
    </row>
    <row r="25" customFormat="false" ht="15" hidden="false" customHeight="true" outlineLevel="0" collapsed="false">
      <c r="A25" s="7" t="s">
        <v>90</v>
      </c>
      <c r="B25" s="7" t="s">
        <v>91</v>
      </c>
      <c r="C25" s="7" t="s">
        <v>92</v>
      </c>
      <c r="D25" s="7" t="s">
        <v>93</v>
      </c>
      <c r="E25" s="8" t="n">
        <v>1</v>
      </c>
      <c r="F25" s="9" t="n">
        <v>0.6</v>
      </c>
      <c r="G25" s="9" t="n">
        <f aca="false">E25*F25</f>
        <v>0.6</v>
      </c>
      <c r="I25" s="5"/>
      <c r="J25" s="6"/>
    </row>
    <row r="26" customFormat="false" ht="15" hidden="false" customHeight="true" outlineLevel="0" collapsed="false">
      <c r="A26" s="4" t="s">
        <v>34</v>
      </c>
      <c r="B26" s="4"/>
      <c r="C26" s="4"/>
      <c r="D26" s="4"/>
      <c r="E26" s="4"/>
      <c r="F26" s="4"/>
      <c r="G26" s="4"/>
      <c r="I26" s="5"/>
      <c r="J26" s="6"/>
    </row>
    <row r="27" customFormat="false" ht="26.25" hidden="false" customHeight="true" outlineLevel="0" collapsed="false">
      <c r="A27" s="7" t="s">
        <v>94</v>
      </c>
      <c r="B27" s="7" t="s">
        <v>95</v>
      </c>
      <c r="C27" s="7" t="s">
        <v>96</v>
      </c>
      <c r="D27" s="7" t="s">
        <v>97</v>
      </c>
      <c r="E27" s="8" t="n">
        <v>1</v>
      </c>
      <c r="F27" s="9" t="n">
        <v>1.6</v>
      </c>
      <c r="G27" s="9" t="n">
        <f aca="false">E27*F27</f>
        <v>1.6</v>
      </c>
      <c r="I27" s="5"/>
      <c r="J27" s="6"/>
    </row>
    <row r="28" customFormat="false" ht="15" hidden="false" customHeight="true" outlineLevel="0" collapsed="false">
      <c r="A28" s="7" t="s">
        <v>98</v>
      </c>
      <c r="B28" s="7" t="s">
        <v>99</v>
      </c>
      <c r="C28" s="7" t="s">
        <v>100</v>
      </c>
      <c r="D28" s="7" t="s">
        <v>101</v>
      </c>
      <c r="E28" s="8" t="n">
        <v>1</v>
      </c>
      <c r="F28" s="9" t="n">
        <v>1.1</v>
      </c>
      <c r="G28" s="9" t="n">
        <f aca="false">E28*F28</f>
        <v>1.1</v>
      </c>
      <c r="I28" s="5"/>
      <c r="J28" s="6"/>
    </row>
    <row r="29" customFormat="false" ht="15" hidden="false" customHeight="true" outlineLevel="0" collapsed="false">
      <c r="A29" s="7" t="s">
        <v>102</v>
      </c>
      <c r="B29" s="7" t="s">
        <v>103</v>
      </c>
      <c r="C29" s="7" t="s">
        <v>32</v>
      </c>
      <c r="D29" s="7" t="s">
        <v>104</v>
      </c>
      <c r="E29" s="8" t="n">
        <v>1</v>
      </c>
      <c r="F29" s="9" t="n">
        <v>0.25</v>
      </c>
      <c r="G29" s="9" t="n">
        <f aca="false">E29*F29</f>
        <v>0.25</v>
      </c>
      <c r="I29" s="5"/>
      <c r="J29" s="6"/>
    </row>
    <row r="30" customFormat="false" ht="15" hidden="false" customHeight="true" outlineLevel="0" collapsed="false">
      <c r="A30" s="7" t="s">
        <v>105</v>
      </c>
      <c r="B30" s="7" t="s">
        <v>106</v>
      </c>
      <c r="C30" s="7" t="s">
        <v>32</v>
      </c>
      <c r="D30" s="7" t="s">
        <v>107</v>
      </c>
      <c r="E30" s="8" t="n">
        <v>1</v>
      </c>
      <c r="F30" s="9" t="n">
        <v>0.2</v>
      </c>
      <c r="G30" s="9" t="n">
        <f aca="false">E30*F30</f>
        <v>0.2</v>
      </c>
      <c r="I30" s="5"/>
      <c r="J30" s="6"/>
    </row>
    <row r="31" customFormat="false" ht="15" hidden="false" customHeight="true" outlineLevel="0" collapsed="false">
      <c r="A31" s="4" t="s">
        <v>39</v>
      </c>
      <c r="B31" s="4"/>
      <c r="C31" s="4"/>
      <c r="D31" s="4"/>
      <c r="E31" s="4"/>
      <c r="F31" s="4"/>
      <c r="G31" s="4"/>
      <c r="I31" s="5"/>
      <c r="J31" s="6"/>
    </row>
    <row r="32" customFormat="false" ht="15" hidden="false" customHeight="true" outlineLevel="0" collapsed="false">
      <c r="A32" s="7" t="s">
        <v>108</v>
      </c>
      <c r="B32" s="7" t="s">
        <v>109</v>
      </c>
      <c r="C32" s="7" t="s">
        <v>110</v>
      </c>
      <c r="D32" s="7" t="s">
        <v>111</v>
      </c>
      <c r="E32" s="8" t="n">
        <v>1</v>
      </c>
      <c r="F32" s="9" t="n">
        <v>2.5</v>
      </c>
      <c r="G32" s="9" t="n">
        <f aca="false">E32*F32</f>
        <v>2.5</v>
      </c>
      <c r="I32" s="5"/>
      <c r="J32" s="6"/>
    </row>
    <row r="33" customFormat="false" ht="15" hidden="false" customHeight="true" outlineLevel="0" collapsed="false">
      <c r="A33" s="7" t="s">
        <v>112</v>
      </c>
      <c r="B33" s="7" t="s">
        <v>113</v>
      </c>
      <c r="C33" s="7" t="s">
        <v>114</v>
      </c>
      <c r="D33" s="7" t="s">
        <v>115</v>
      </c>
      <c r="E33" s="8" t="n">
        <v>1</v>
      </c>
      <c r="F33" s="9" t="n">
        <v>0.15</v>
      </c>
      <c r="G33" s="9" t="n">
        <f aca="false">E33*F33</f>
        <v>0.15</v>
      </c>
      <c r="I33" s="5"/>
      <c r="J33" s="6"/>
    </row>
    <row r="34" customFormat="false" ht="15" hidden="false" customHeight="true" outlineLevel="0" collapsed="false">
      <c r="A34" s="7" t="s">
        <v>116</v>
      </c>
      <c r="B34" s="7" t="s">
        <v>117</v>
      </c>
      <c r="C34" s="7" t="s">
        <v>32</v>
      </c>
      <c r="D34" s="7" t="s">
        <v>118</v>
      </c>
      <c r="E34" s="8" t="n">
        <v>1</v>
      </c>
      <c r="F34" s="9" t="n">
        <v>0.3</v>
      </c>
      <c r="G34" s="9" t="n">
        <f aca="false">E34*F34</f>
        <v>0.3</v>
      </c>
      <c r="I34" s="5"/>
      <c r="J34" s="6"/>
    </row>
    <row r="35" customFormat="false" ht="26.25" hidden="false" customHeight="true" outlineLevel="0" collapsed="false">
      <c r="A35" s="4" t="s">
        <v>40</v>
      </c>
      <c r="B35" s="4"/>
      <c r="C35" s="4"/>
      <c r="D35" s="4"/>
      <c r="E35" s="4"/>
      <c r="F35" s="4"/>
      <c r="G35" s="4"/>
      <c r="I35" s="5"/>
      <c r="J35" s="6"/>
    </row>
    <row r="36" customFormat="false" ht="15" hidden="false" customHeight="true" outlineLevel="0" collapsed="false">
      <c r="A36" s="7" t="s">
        <v>119</v>
      </c>
      <c r="B36" s="7" t="s">
        <v>120</v>
      </c>
      <c r="C36" s="7" t="s">
        <v>32</v>
      </c>
      <c r="D36" s="7" t="s">
        <v>121</v>
      </c>
      <c r="E36" s="8" t="n">
        <v>2</v>
      </c>
      <c r="F36" s="9" t="n">
        <v>0.3</v>
      </c>
      <c r="G36" s="9" t="n">
        <f aca="false">E36*F36</f>
        <v>0.6</v>
      </c>
      <c r="I36" s="5"/>
      <c r="J36" s="6"/>
    </row>
    <row r="37" customFormat="false" ht="15" hidden="false" customHeight="true" outlineLevel="0" collapsed="false">
      <c r="A37" s="7" t="s">
        <v>122</v>
      </c>
      <c r="B37" s="7" t="s">
        <v>123</v>
      </c>
      <c r="C37" s="7" t="s">
        <v>124</v>
      </c>
      <c r="D37" s="7" t="s">
        <v>125</v>
      </c>
      <c r="E37" s="8" t="n">
        <v>1</v>
      </c>
      <c r="F37" s="9" t="n">
        <v>0.1</v>
      </c>
      <c r="G37" s="9" t="n">
        <f aca="false">E37*F37</f>
        <v>0.1</v>
      </c>
      <c r="I37" s="5"/>
      <c r="J37" s="6"/>
    </row>
    <row r="38" customFormat="false" ht="15" hidden="false" customHeight="true" outlineLevel="0" collapsed="false">
      <c r="A38" s="7" t="s">
        <v>126</v>
      </c>
      <c r="B38" s="7" t="s">
        <v>127</v>
      </c>
      <c r="C38" s="7" t="s">
        <v>128</v>
      </c>
      <c r="D38" s="7" t="s">
        <v>129</v>
      </c>
      <c r="E38" s="8" t="n">
        <v>1</v>
      </c>
      <c r="F38" s="9" t="n">
        <v>0.35</v>
      </c>
      <c r="G38" s="9" t="n">
        <f aca="false">E38*F38</f>
        <v>0.35</v>
      </c>
      <c r="I38" s="5"/>
      <c r="J38" s="6"/>
    </row>
    <row r="39" customFormat="false" ht="15" hidden="false" customHeight="true" outlineLevel="0" collapsed="false">
      <c r="A39" s="4" t="s">
        <v>45</v>
      </c>
      <c r="B39" s="4"/>
      <c r="C39" s="4"/>
      <c r="D39" s="4"/>
      <c r="E39" s="4"/>
      <c r="F39" s="4"/>
      <c r="G39" s="4"/>
      <c r="I39" s="5"/>
      <c r="J39" s="6"/>
    </row>
    <row r="40" customFormat="false" ht="26.25" hidden="false" customHeight="true" outlineLevel="0" collapsed="false">
      <c r="A40" s="7" t="s">
        <v>130</v>
      </c>
      <c r="B40" s="7" t="s">
        <v>131</v>
      </c>
      <c r="C40" s="7" t="s">
        <v>132</v>
      </c>
      <c r="D40" s="7" t="s">
        <v>133</v>
      </c>
      <c r="E40" s="8" t="n">
        <v>1</v>
      </c>
      <c r="F40" s="9" t="n">
        <v>8</v>
      </c>
      <c r="G40" s="9" t="n">
        <f aca="false">E40*F40</f>
        <v>8</v>
      </c>
      <c r="I40" s="5"/>
      <c r="J40" s="6"/>
    </row>
    <row r="41" customFormat="false" ht="15" hidden="false" customHeight="true" outlineLevel="0" collapsed="false">
      <c r="A41" s="7" t="s">
        <v>134</v>
      </c>
      <c r="B41" s="7" t="s">
        <v>135</v>
      </c>
      <c r="C41" s="7" t="s">
        <v>136</v>
      </c>
      <c r="D41" s="7" t="s">
        <v>137</v>
      </c>
      <c r="E41" s="8" t="n">
        <v>1</v>
      </c>
      <c r="F41" s="9" t="n">
        <v>6</v>
      </c>
      <c r="G41" s="9" t="n">
        <f aca="false">E41*F41</f>
        <v>6</v>
      </c>
      <c r="I41" s="5"/>
      <c r="J41" s="6"/>
    </row>
    <row r="42" customFormat="false" ht="15" hidden="false" customHeight="true" outlineLevel="0" collapsed="false">
      <c r="A42" s="10" t="s">
        <v>138</v>
      </c>
      <c r="B42" s="10"/>
      <c r="C42" s="10"/>
      <c r="D42" s="10"/>
      <c r="E42" s="10"/>
      <c r="F42" s="10"/>
      <c r="G42" s="11" t="n">
        <f aca="false">SUM(G2:G41)</f>
        <v>103.66</v>
      </c>
    </row>
    <row r="43" customFormat="false" ht="15" hidden="false" customHeight="true" outlineLevel="0" collapsed="false">
      <c r="A43" s="12"/>
      <c r="G43" s="11"/>
    </row>
  </sheetData>
  <mergeCells count="10">
    <mergeCell ref="A2:G2"/>
    <mergeCell ref="A9:G9"/>
    <mergeCell ref="A13:G13"/>
    <mergeCell ref="A18:G18"/>
    <mergeCell ref="A21:G21"/>
    <mergeCell ref="A26:G26"/>
    <mergeCell ref="A31:G31"/>
    <mergeCell ref="A35:G35"/>
    <mergeCell ref="A39:G39"/>
    <mergeCell ref="A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0"/>
  </cols>
  <sheetData>
    <row r="1" customFormat="false" ht="15.75" hidden="false" customHeight="true" outlineLevel="0" collapsed="false">
      <c r="A1" s="13" t="s">
        <v>139</v>
      </c>
    </row>
    <row r="2" customFormat="false" ht="15" hidden="false" customHeight="true" outlineLevel="0" collapsed="false">
      <c r="A2" s="14"/>
    </row>
    <row r="3" customFormat="false" ht="26.25" hidden="false" customHeight="true" outlineLevel="0" collapsed="false">
      <c r="A3" s="14" t="s">
        <v>140</v>
      </c>
    </row>
    <row r="4" customFormat="false" ht="26.25" hidden="false" customHeight="true" outlineLevel="0" collapsed="false">
      <c r="A4" s="14" t="s">
        <v>141</v>
      </c>
    </row>
    <row r="5" customFormat="false" ht="26.25" hidden="false" customHeight="true" outlineLevel="0" collapsed="false">
      <c r="A5" s="14" t="s">
        <v>142</v>
      </c>
    </row>
    <row r="6" customFormat="false" ht="15" hidden="false" customHeight="true" outlineLevel="0" collapsed="false">
      <c r="A6" s="14" t="s">
        <v>143</v>
      </c>
    </row>
    <row r="7" customFormat="false" ht="26.25" hidden="false" customHeight="true" outlineLevel="0" collapsed="false">
      <c r="A7" s="14" t="s">
        <v>144</v>
      </c>
    </row>
    <row r="8" customFormat="false" ht="15" hidden="false" customHeight="true" outlineLevel="0" collapsed="false">
      <c r="A8" s="14" t="s">
        <v>145</v>
      </c>
    </row>
    <row r="9" customFormat="false" ht="45" hidden="false" customHeight="true" outlineLevel="0" collapsed="false">
      <c r="A9" s="14" t="s">
        <v>146</v>
      </c>
    </row>
    <row r="10" customFormat="false" ht="79.85" hidden="false" customHeight="false" outlineLevel="0" collapsed="false">
      <c r="A10" s="14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2026-08-10T01:51:39Z</dcterms:created>
  <dc:creator>openpyxl</dc:creator>
  <dc:description/>
  <dc:language>en-US</dc:language>
  <cp:lastModifiedBy>Carl Nieves</cp:lastModifiedBy>
  <dcterms:modified xsi:type="dcterms:W3CDTF">2026-08-14T23:24:18Z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